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" sheetId="3" state="visible" r:id="rId3"/>
    <sheet xmlns:r="http://schemas.openxmlformats.org/officeDocument/2006/relationships" name="Cost Forecast" sheetId="4" state="visible" r:id="rId4"/>
    <sheet xmlns:r="http://schemas.openxmlformats.org/officeDocument/2006/relationships" name="P&amp;L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KPI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0.0&quot; yrs&quot;"/>
    <numFmt numFmtId="166" formatCode="0.00&quot;x&quot;"/>
    <numFmt numFmtId="167" formatCode="0.00000"/>
    <numFmt numFmtId="168" formatCode="0.0"/>
    <numFmt numFmtId="169" formatCode="0.000"/>
    <numFmt numFmtId="170" formatCode="+0%;-0%;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0E2A47"/>
      <sz val="20"/>
    </font>
    <font>
      <i val="1"/>
      <color rgb="00555555"/>
      <sz val="12"/>
    </font>
    <font>
      <b val="1"/>
    </font>
    <font>
      <b val="1"/>
      <color rgb="00FFFFFF"/>
      <sz val="12"/>
    </font>
    <font>
      <b val="1"/>
      <color rgb="000E2A47"/>
      <sz val="11"/>
    </font>
    <font>
      <i val="1"/>
      <color rgb="00888888"/>
      <sz val="9"/>
    </font>
    <font>
      <i val="1"/>
      <color rgb="00555555"/>
    </font>
    <font>
      <b val="1"/>
      <color rgb="000E2A47"/>
    </font>
    <font>
      <b val="1"/>
      <color rgb="000E2A47"/>
      <sz val="12"/>
    </font>
    <font>
      <i val="1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9BA4B4"/>
      </left>
      <right style="thin">
        <color rgb="009BA4B4"/>
      </right>
      <top style="thin">
        <color rgb="009BA4B4"/>
      </top>
      <bottom style="thin">
        <color rgb="009BA4B4"/>
      </bottom>
    </border>
    <border>
      <left/>
      <right/>
      <top style="thin">
        <color rgb="009BA4B4"/>
      </top>
      <bottom/>
      <diagonal/>
    </border>
    <border>
      <left/>
      <right style="thin">
        <color rgb="009BA4B4"/>
      </right>
      <top style="thin">
        <color rgb="009BA4B4"/>
      </top>
      <bottom/>
      <diagonal/>
    </border>
    <border>
      <left/>
      <right/>
      <top style="thin">
        <color rgb="009BA4B4"/>
      </top>
      <bottom style="thin">
        <color rgb="009BA4B4"/>
      </bottom>
      <diagonal/>
    </border>
    <border>
      <left/>
      <right style="thin">
        <color rgb="009BA4B4"/>
      </right>
      <top style="thin">
        <color rgb="009BA4B4"/>
      </top>
      <bottom style="thin">
        <color rgb="009BA4B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4" fillId="0" borderId="1" applyAlignment="1" pivotButton="0" quotePrefix="0" xfId="0">
      <alignment indent="1"/>
    </xf>
    <xf numFmtId="38" fontId="4" fillId="3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2" borderId="0" applyAlignment="1" pivotButton="0" quotePrefix="0" xfId="0">
      <alignment indent="1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indent="1"/>
    </xf>
    <xf numFmtId="3" fontId="0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167" fontId="0" fillId="5" borderId="1" applyAlignment="1" pivotButton="0" quotePrefix="0" xfId="0">
      <alignment horizontal="right"/>
    </xf>
    <xf numFmtId="49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168" fontId="0" fillId="5" borderId="1" applyAlignment="1" pivotButton="0" quotePrefix="0" xfId="0">
      <alignment horizontal="right"/>
    </xf>
    <xf numFmtId="38" fontId="0" fillId="5" borderId="1" applyAlignment="1" pivotButton="0" quotePrefix="0" xfId="0">
      <alignment horizontal="right"/>
    </xf>
    <xf numFmtId="166" fontId="0" fillId="5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9" fillId="0" borderId="0" pivotButton="0" quotePrefix="0" xfId="0"/>
    <xf numFmtId="0" fontId="0" fillId="4" borderId="0" pivotButton="0" quotePrefix="0" xfId="0"/>
    <xf numFmtId="3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38" fontId="0" fillId="0" borderId="1" applyAlignment="1" pivotButton="0" quotePrefix="0" xfId="0">
      <alignment horizontal="right"/>
    </xf>
    <xf numFmtId="38" fontId="4" fillId="0" borderId="1" applyAlignment="1" pivotButton="0" quotePrefix="0" xfId="0">
      <alignment horizontal="right"/>
    </xf>
    <xf numFmtId="0" fontId="10" fillId="0" borderId="0" pivotButton="0" quotePrefix="0" xfId="0"/>
    <xf numFmtId="0" fontId="11" fillId="0" borderId="0" pivotButton="0" quotePrefix="0" xfId="0"/>
    <xf numFmtId="164" fontId="4" fillId="0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12" fillId="0" borderId="1" applyAlignment="1" pivotButton="0" quotePrefix="0" xfId="0">
      <alignment horizontal="left" indent="1"/>
    </xf>
    <xf numFmtId="0" fontId="4" fillId="0" borderId="1" applyAlignment="1" pivotButton="0" quotePrefix="0" xfId="0">
      <alignment horizontal="left"/>
    </xf>
    <xf numFmtId="0" fontId="9" fillId="4" borderId="0" pivotButton="0" quotePrefix="0" xfId="0"/>
    <xf numFmtId="38" fontId="0" fillId="0" borderId="1" pivotButton="0" quotePrefix="0" xfId="0"/>
    <xf numFmtId="0" fontId="5" fillId="2" borderId="0" pivotButton="0" quotePrefix="0" xfId="0"/>
    <xf numFmtId="170" fontId="4" fillId="4" borderId="1" applyAlignment="1" pivotButton="0" quotePrefix="0" xfId="0">
      <alignment horizontal="center" vertical="center"/>
    </xf>
    <xf numFmtId="38" fontId="0" fillId="0" borderId="0" pivotButton="0" quotePrefix="0" xfId="0"/>
    <xf numFmtId="164" fontId="0" fillId="0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Margin Trajectory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'KPI Dashboard'!$B$5:$F$5</f>
            </numRef>
          </cat>
          <val>
            <numRef>
              <f>'KPI Dashboard'!$B$10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'KPI Dashboard'!$B$5:$F$5</f>
            </numRef>
          </cat>
          <val>
            <numRef>
              <f>'KPI Dashboard'!$C$10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'KPI Dashboard'!$B$5:$F$5</f>
            </numRef>
          </cat>
          <val>
            <numRef>
              <f>'KPI Dashboard'!$D$10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'KPI Dashboard'!$B$5:$F$5</f>
            </numRef>
          </cat>
          <val>
            <numRef>
              <f>'KPI Dashboard'!$E$10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'KPI Dashboard'!$B$5:$F$5</f>
            </numRef>
          </cat>
          <val>
            <numRef>
              <f>'KPI Dashboard'!$F$10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EBITDA Margin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Trajectory (BGN)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'KPI Dashboard'!$B$5:$F$5</f>
            </numRef>
          </cat>
          <val>
            <numRef>
              <f>'KPI Dashboard'!$B$6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'KPI Dashboard'!$B$5:$F$5</f>
            </numRef>
          </cat>
          <val>
            <numRef>
              <f>'KPI Dashboard'!$C$6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'KPI Dashboard'!$B$5:$F$5</f>
            </numRef>
          </cat>
          <val>
            <numRef>
              <f>'KPI Dashboard'!$D$6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'KPI Dashboard'!$B$5:$F$5</f>
            </numRef>
          </cat>
          <val>
            <numRef>
              <f>'KPI Dashboard'!$E$6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'KPI Dashboard'!$B$5:$F$5</f>
            </numRef>
          </cat>
          <val>
            <numRef>
              <f>'KPI Dashboard'!$F$6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32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SALVATORE PIZZA  —  COVER</t>
        </is>
      </c>
    </row>
    <row r="3">
      <c r="A3" s="2" t="inlineStr">
        <is>
          <t>Salvatore Pizza | Financial Model &amp; Investment Case</t>
        </is>
      </c>
    </row>
    <row r="4">
      <c r="A4" s="3" t="inlineStr">
        <is>
          <t>Sofia, Bulgaria  |  5-Year Projection  |  Currency: BGN (EUR @ 1.95583)</t>
        </is>
      </c>
    </row>
    <row r="6">
      <c r="A6" s="4" t="inlineStr">
        <is>
          <t>Concept:</t>
        </is>
      </c>
      <c r="B6" t="inlineStr">
        <is>
          <t>Authentic Neapolitan pizzeria — 48h fermented dough, signature stuffed-mozzarella crust</t>
        </is>
      </c>
    </row>
    <row r="7">
      <c r="A7" s="4" t="inlineStr">
        <is>
          <t>Location:</t>
        </is>
      </c>
      <c r="B7" t="inlineStr">
        <is>
          <t>19 Gurko Str., Central Sofia, Bulgaria</t>
        </is>
      </c>
    </row>
    <row r="8">
      <c r="A8" s="4" t="inlineStr">
        <is>
          <t>Capacity:</t>
        </is>
      </c>
      <c r="B8" t="inlineStr">
        <is>
          <t>1 wood-fired oven, 6 in-shop tables, delivery via aggregator</t>
        </is>
      </c>
    </row>
    <row r="9">
      <c r="A9" s="4" t="inlineStr">
        <is>
          <t>Hours:</t>
        </is>
      </c>
      <c r="B9" t="inlineStr">
        <is>
          <t>11:00 – 23:00, 7 days/week (~360 trading days/yr)</t>
        </is>
      </c>
    </row>
    <row r="10">
      <c r="A10" s="4" t="inlineStr">
        <is>
          <t>Prepared by:</t>
        </is>
      </c>
      <c r="B10" t="inlineStr">
        <is>
          <t>Goldman Sachs — Restaurant &amp; Hospitality Coverage</t>
        </is>
      </c>
    </row>
    <row r="11">
      <c r="A11" s="4" t="inlineStr">
        <is>
          <t>Date:</t>
        </is>
      </c>
      <c r="B11" t="inlineStr">
        <is>
          <t>2026-05-20</t>
        </is>
      </c>
    </row>
    <row r="14">
      <c r="A14" s="5" t="inlineStr">
        <is>
          <t>CENTRAL CASE — HEADLINE KPIs</t>
        </is>
      </c>
    </row>
    <row r="16">
      <c r="A16" s="6" t="inlineStr">
        <is>
          <t>Year-1 Revenue (BGN)</t>
        </is>
      </c>
      <c r="C16" s="7">
        <f>'P&amp;L'!C5</f>
        <v/>
      </c>
      <c r="D16" s="8" t="n"/>
      <c r="E16" s="9" t="n"/>
    </row>
    <row r="17">
      <c r="A17" s="6" t="inlineStr">
        <is>
          <t>Year-5 Revenue (BGN)</t>
        </is>
      </c>
      <c r="C17" s="7">
        <f>'P&amp;L'!G5</f>
        <v/>
      </c>
      <c r="D17" s="8" t="n"/>
      <c r="E17" s="9" t="n"/>
    </row>
    <row r="18">
      <c r="A18" s="6" t="inlineStr">
        <is>
          <t>Y3 EBITDA Margin</t>
        </is>
      </c>
      <c r="C18" s="10">
        <f>'P&amp;L'!E22</f>
        <v/>
      </c>
      <c r="D18" s="8" t="n"/>
      <c r="E18" s="9" t="n"/>
    </row>
    <row r="19">
      <c r="A19" s="6" t="inlineStr">
        <is>
          <t>Y5 EBITDA Margin</t>
        </is>
      </c>
      <c r="C19" s="10">
        <f>'P&amp;L'!G22</f>
        <v/>
      </c>
      <c r="D19" s="8" t="n"/>
      <c r="E19" s="9" t="n"/>
    </row>
    <row r="20">
      <c r="A20" s="6" t="inlineStr">
        <is>
          <t>Project IRR</t>
        </is>
      </c>
      <c r="C20" s="10">
        <f>'Cash Flow'!C25</f>
        <v/>
      </c>
      <c r="D20" s="8" t="n"/>
      <c r="E20" s="9" t="n"/>
    </row>
    <row r="21">
      <c r="A21" s="6" t="inlineStr">
        <is>
          <t>Payback Period (yrs)</t>
        </is>
      </c>
      <c r="C21" s="11">
        <f>'Cash Flow'!C27</f>
        <v/>
      </c>
      <c r="D21" s="8" t="n"/>
      <c r="E21" s="9" t="n"/>
    </row>
    <row r="22">
      <c r="A22" s="6" t="inlineStr">
        <is>
          <t>NPV @ 12% (BGN)</t>
        </is>
      </c>
      <c r="C22" s="7">
        <f>'Cash Flow'!C24</f>
        <v/>
      </c>
      <c r="D22" s="8" t="n"/>
      <c r="E22" s="9" t="n"/>
    </row>
    <row r="23">
      <c r="A23" s="6" t="inlineStr">
        <is>
          <t>MOIC</t>
        </is>
      </c>
      <c r="C23" s="12">
        <f>'Cash Flow'!C26</f>
        <v/>
      </c>
      <c r="D23" s="8" t="n"/>
      <c r="E23" s="9" t="n"/>
    </row>
    <row r="26">
      <c r="A26" s="13" t="inlineStr">
        <is>
          <t>Investment Thesis (Central Case)</t>
        </is>
      </c>
    </row>
    <row r="27">
      <c r="A27" t="inlineStr">
        <is>
          <t>• Premium positioning via stuffed-mozzarella signature crust differentiates from Sofia's commodity Neapolitan field.</t>
        </is>
      </c>
    </row>
    <row r="28">
      <c r="A28" t="inlineStr">
        <is>
          <t>• Single-oven, 6-table footprint with delivery upside keeps fixed-cost base lean; break-even achievable in Y1.</t>
        </is>
      </c>
    </row>
    <row r="29">
      <c r="A29" t="inlineStr">
        <is>
          <t>• Bulgaria's 10% CIT, 9% reduced-VAT on food, and sub-EU labour costs underpin attractive unit economics.</t>
        </is>
      </c>
    </row>
    <row r="30">
      <c r="A30" t="inlineStr">
        <is>
          <t>• Key risks: aggregator commission compression of delivery margin; oven throughput ceiling at 180 pizzas/day.</t>
        </is>
      </c>
    </row>
    <row r="34">
      <c r="A34" s="14" t="inlineStr">
        <is>
          <t>Prepared by Goldman Sachs Restaurant &amp; Hospitality Coverage  |  Confidential Due Diligence Draft  |  2026-05-20</t>
        </is>
      </c>
    </row>
  </sheetData>
  <mergeCells count="13">
    <mergeCell ref="C16:E16"/>
    <mergeCell ref="A4:H4"/>
    <mergeCell ref="A3:H3"/>
    <mergeCell ref="C19:E19"/>
    <mergeCell ref="C23:E23"/>
    <mergeCell ref="C22:E22"/>
    <mergeCell ref="C18:E18"/>
    <mergeCell ref="C17:E17"/>
    <mergeCell ref="A14:H14"/>
    <mergeCell ref="A1:H1"/>
    <mergeCell ref="C21:E21"/>
    <mergeCell ref="C20:E20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4" customWidth="1" min="4" max="4"/>
    <col width="42" customWidth="1" min="5" max="5"/>
    <col width="14" customWidth="1" min="6" max="6"/>
  </cols>
  <sheetData>
    <row r="1" ht="28" customHeight="1">
      <c r="A1" s="1" t="inlineStr">
        <is>
          <t>SALVATORE PIZZA  —  ASSUMPTIONS</t>
        </is>
      </c>
    </row>
    <row r="3">
      <c r="A3" s="15" t="inlineStr">
        <is>
          <t>All Bulgaria/Sofia benchmarks anchored to 2025-26 market data. Inputs in BLUE are flex-able drivers.</t>
        </is>
      </c>
    </row>
    <row r="5">
      <c r="A5" s="16" t="inlineStr">
        <is>
          <t>Operating Parameters</t>
        </is>
      </c>
    </row>
    <row r="6">
      <c r="A6" s="17" t="inlineStr">
        <is>
          <t>Driver</t>
        </is>
      </c>
      <c r="B6" s="17" t="inlineStr">
        <is>
          <t>Value</t>
        </is>
      </c>
      <c r="C6" s="17" t="inlineStr">
        <is>
          <t>Unit</t>
        </is>
      </c>
      <c r="D6" s="17" t="inlineStr"/>
      <c r="E6" s="17" t="inlineStr">
        <is>
          <t>Source / Note</t>
        </is>
      </c>
      <c r="F6" s="17" t="inlineStr"/>
    </row>
    <row r="7">
      <c r="A7" s="18" t="inlineStr">
        <is>
          <t>Trading days per year</t>
        </is>
      </c>
      <c r="B7" s="19" t="n">
        <v>360</v>
      </c>
      <c r="C7" s="20" t="inlineStr">
        <is>
          <t>days</t>
        </is>
      </c>
      <c r="E7" s="21" t="inlineStr">
        <is>
          <t>Open 7 days/week, allow 5 closed days</t>
        </is>
      </c>
    </row>
    <row r="8">
      <c r="A8" s="18" t="inlineStr">
        <is>
          <t>Trading hours per day</t>
        </is>
      </c>
      <c r="B8" s="19" t="n">
        <v>12</v>
      </c>
      <c r="C8" s="20" t="inlineStr">
        <is>
          <t>hrs</t>
        </is>
      </c>
      <c r="E8" s="21" t="inlineStr">
        <is>
          <t>11:00–23:00</t>
        </is>
      </c>
    </row>
    <row r="9">
      <c r="A9" s="18" t="inlineStr">
        <is>
          <t>Unit size</t>
        </is>
      </c>
      <c r="B9" s="19" t="n">
        <v>90</v>
      </c>
      <c r="C9" s="20" t="inlineStr">
        <is>
          <t>m²</t>
        </is>
      </c>
      <c r="E9" s="21" t="inlineStr">
        <is>
          <t>Central Sofia 90 m² assumption</t>
        </is>
      </c>
    </row>
    <row r="10">
      <c r="A10" s="18" t="inlineStr">
        <is>
          <t>EUR / BGN fixed peg</t>
        </is>
      </c>
      <c r="B10" s="22" t="n">
        <v>1.95583</v>
      </c>
      <c r="C10" s="20" t="inlineStr">
        <is>
          <t>BGN/EUR</t>
        </is>
      </c>
      <c r="E10" s="21" t="inlineStr">
        <is>
          <t>Bulgaria currency board peg</t>
        </is>
      </c>
    </row>
    <row r="11">
      <c r="A11" s="18" t="inlineStr">
        <is>
          <t>Scenario (Base/Bull/Bear)</t>
        </is>
      </c>
      <c r="B11" s="23" t="inlineStr">
        <is>
          <t>Base</t>
        </is>
      </c>
      <c r="C11" s="20" t="inlineStr">
        <is>
          <t>—</t>
        </is>
      </c>
      <c r="E11" s="21" t="inlineStr">
        <is>
          <t>Drives flex on covers/day &amp; ASP via ±15% in calcs</t>
        </is>
      </c>
    </row>
    <row r="12">
      <c r="A12" s="18" t="inlineStr">
        <is>
          <t>Scenario flex — Bull (+) / Bear (-)</t>
        </is>
      </c>
      <c r="B12" s="24" t="n">
        <v>0.15</v>
      </c>
      <c r="C12" s="20" t="inlineStr">
        <is>
          <t>%</t>
        </is>
      </c>
      <c r="E12" s="21" t="inlineStr">
        <is>
          <t>Applied to covers and ASP under Bull/Bear</t>
        </is>
      </c>
    </row>
    <row r="13"/>
    <row r="14">
      <c r="A14" s="16" t="inlineStr">
        <is>
          <t>Revenue Drivers</t>
        </is>
      </c>
    </row>
    <row r="15">
      <c r="A15" s="17" t="inlineStr">
        <is>
          <t>Driver</t>
        </is>
      </c>
      <c r="B15" s="17" t="inlineStr">
        <is>
          <t>Value</t>
        </is>
      </c>
      <c r="C15" s="17" t="inlineStr">
        <is>
          <t>Unit</t>
        </is>
      </c>
      <c r="D15" s="17" t="inlineStr"/>
      <c r="E15" s="17" t="inlineStr">
        <is>
          <t>Source / Note</t>
        </is>
      </c>
      <c r="F15" s="17" t="inlineStr"/>
    </row>
    <row r="16">
      <c r="A16" s="18" t="inlineStr">
        <is>
          <t># tables in-shop</t>
        </is>
      </c>
      <c r="B16" s="19" t="n">
        <v>6</v>
      </c>
      <c r="C16" s="20" t="inlineStr">
        <is>
          <t>tables</t>
        </is>
      </c>
      <c r="E16" s="21" t="inlineStr">
        <is>
          <t>Physical constraint</t>
        </is>
      </c>
    </row>
    <row r="17">
      <c r="A17" s="18" t="inlineStr">
        <is>
          <t>Covers per table (seats)</t>
        </is>
      </c>
      <c r="B17" s="19" t="n">
        <v>4</v>
      </c>
      <c r="C17" s="20" t="inlineStr">
        <is>
          <t>pax</t>
        </is>
      </c>
      <c r="E17" s="21" t="inlineStr">
        <is>
          <t>Standard 4-top</t>
        </is>
      </c>
    </row>
    <row r="18">
      <c r="A18" s="18" t="inlineStr">
        <is>
          <t>Lunch turns/day Y1</t>
        </is>
      </c>
      <c r="B18" s="25" t="n">
        <v>1</v>
      </c>
      <c r="C18" s="20" t="inlineStr">
        <is>
          <t>turns</t>
        </is>
      </c>
      <c r="E18" s="21" t="inlineStr">
        <is>
          <t>Ramping to 1.4 by Y3</t>
        </is>
      </c>
    </row>
    <row r="19">
      <c r="A19" s="18" t="inlineStr">
        <is>
          <t>Dinner turns/day Y1</t>
        </is>
      </c>
      <c r="B19" s="25" t="n">
        <v>1.5</v>
      </c>
      <c r="C19" s="20" t="inlineStr">
        <is>
          <t>turns</t>
        </is>
      </c>
      <c r="E19" s="21" t="inlineStr">
        <is>
          <t>Ramping to 2.3 by Y3 (Sofia central peak)</t>
        </is>
      </c>
    </row>
    <row r="20">
      <c r="A20" s="18" t="inlineStr">
        <is>
          <t>Lunch turns/day Y3 (steady)</t>
        </is>
      </c>
      <c r="B20" s="25" t="n">
        <v>1.4</v>
      </c>
      <c r="C20" s="20" t="inlineStr">
        <is>
          <t>turns</t>
        </is>
      </c>
      <c r="E20" s="21" t="inlineStr">
        <is>
          <t>Steady state</t>
        </is>
      </c>
    </row>
    <row r="21">
      <c r="A21" s="18" t="inlineStr">
        <is>
          <t>Dinner turns/day Y3 (steady)</t>
        </is>
      </c>
      <c r="B21" s="25" t="n">
        <v>2.3</v>
      </c>
      <c r="C21" s="20" t="inlineStr">
        <is>
          <t>turns</t>
        </is>
      </c>
      <c r="E21" s="21" t="inlineStr">
        <is>
          <t>Steady state</t>
        </is>
      </c>
    </row>
    <row r="22">
      <c r="A22" s="18" t="inlineStr">
        <is>
          <t>Avg dine-in ticket (BGN/cover)</t>
        </is>
      </c>
      <c r="B22" s="26" t="n">
        <v>34</v>
      </c>
      <c r="C22" s="20" t="inlineStr">
        <is>
          <t>BGN</t>
        </is>
      </c>
      <c r="E22" s="21" t="inlineStr">
        <is>
          <t>Pizza ASP 24 + drink + occasional side</t>
        </is>
      </c>
    </row>
    <row r="23">
      <c r="A23" s="18" t="inlineStr">
        <is>
          <t>Takeaway orders/day Y1</t>
        </is>
      </c>
      <c r="B23" s="19" t="n">
        <v>12</v>
      </c>
      <c r="C23" s="20" t="inlineStr">
        <is>
          <t>orders</t>
        </is>
      </c>
      <c r="E23" s="21" t="inlineStr">
        <is>
          <t>Walk-in pickup</t>
        </is>
      </c>
    </row>
    <row r="24">
      <c r="A24" s="18" t="inlineStr">
        <is>
          <t>Takeaway orders/day Y3 (steady)</t>
        </is>
      </c>
      <c r="B24" s="19" t="n">
        <v>25</v>
      </c>
      <c r="C24" s="20" t="inlineStr">
        <is>
          <t>orders</t>
        </is>
      </c>
      <c r="E24" s="21" t="inlineStr">
        <is>
          <t>Steady</t>
        </is>
      </c>
    </row>
    <row r="25">
      <c r="A25" s="18" t="inlineStr">
        <is>
          <t>Avg takeaway ticket (BGN)</t>
        </is>
      </c>
      <c r="B25" s="26" t="n">
        <v>26</v>
      </c>
      <c r="C25" s="20" t="inlineStr">
        <is>
          <t>BGN</t>
        </is>
      </c>
      <c r="E25" s="21" t="inlineStr">
        <is>
          <t>Pizza + small drink</t>
        </is>
      </c>
    </row>
    <row r="26">
      <c r="A26" s="18" t="inlineStr">
        <is>
          <t>Delivery orders/day Y1</t>
        </is>
      </c>
      <c r="B26" s="19" t="n">
        <v>18</v>
      </c>
      <c r="C26" s="20" t="inlineStr">
        <is>
          <t>orders</t>
        </is>
      </c>
      <c r="E26" s="21" t="inlineStr">
        <is>
          <t>Via Glovo/Foodpanda Sofia</t>
        </is>
      </c>
    </row>
    <row r="27">
      <c r="A27" s="18" t="inlineStr">
        <is>
          <t>Delivery orders/day Y3 (steady)</t>
        </is>
      </c>
      <c r="B27" s="19" t="n">
        <v>45</v>
      </c>
      <c r="C27" s="20" t="inlineStr">
        <is>
          <t>orders</t>
        </is>
      </c>
      <c r="E27" s="21" t="inlineStr">
        <is>
          <t>Aggressive ramp to 45 by Y3</t>
        </is>
      </c>
    </row>
    <row r="28">
      <c r="A28" s="18" t="inlineStr">
        <is>
          <t>Avg delivery ticket (BGN, gross)</t>
        </is>
      </c>
      <c r="B28" s="26" t="n">
        <v>32</v>
      </c>
      <c r="C28" s="20" t="inlineStr">
        <is>
          <t>BGN</t>
        </is>
      </c>
      <c r="E28" s="21" t="inlineStr">
        <is>
          <t>Pizza + drink, less attach</t>
        </is>
      </c>
    </row>
    <row r="29">
      <c r="A29" s="18" t="inlineStr">
        <is>
          <t>Same-store growth Y2</t>
        </is>
      </c>
      <c r="B29" s="24" t="n">
        <v>0.25</v>
      </c>
      <c r="C29" s="20" t="inlineStr">
        <is>
          <t>%</t>
        </is>
      </c>
      <c r="E29" s="21" t="inlineStr">
        <is>
          <t>Year-2 ramp</t>
        </is>
      </c>
    </row>
    <row r="30">
      <c r="A30" s="18" t="inlineStr">
        <is>
          <t>Same-store growth Y3</t>
        </is>
      </c>
      <c r="B30" s="24" t="n">
        <v>0.15</v>
      </c>
      <c r="C30" s="20" t="inlineStr">
        <is>
          <t>%</t>
        </is>
      </c>
      <c r="E30" s="21" t="inlineStr">
        <is>
          <t>Year-3 ramp</t>
        </is>
      </c>
    </row>
    <row r="31">
      <c r="A31" s="18" t="inlineStr">
        <is>
          <t>Same-store growth Y4</t>
        </is>
      </c>
      <c r="B31" s="24" t="n">
        <v>0.06</v>
      </c>
      <c r="C31" s="20" t="inlineStr">
        <is>
          <t>%</t>
        </is>
      </c>
      <c r="E31" s="21" t="inlineStr">
        <is>
          <t>Maturation</t>
        </is>
      </c>
    </row>
    <row r="32">
      <c r="A32" s="18" t="inlineStr">
        <is>
          <t>Same-store growth Y5</t>
        </is>
      </c>
      <c r="B32" s="24" t="n">
        <v>0.04</v>
      </c>
      <c r="C32" s="20" t="inlineStr">
        <is>
          <t>%</t>
        </is>
      </c>
      <c r="E32" s="21" t="inlineStr">
        <is>
          <t>Steady state</t>
        </is>
      </c>
    </row>
    <row r="33">
      <c r="A33" s="18" t="inlineStr">
        <is>
          <t>Oven max throughput (pizza/day)</t>
        </is>
      </c>
      <c r="B33" s="19" t="n">
        <v>180</v>
      </c>
      <c r="C33" s="20" t="inlineStr">
        <is>
          <t>pizzas</t>
        </is>
      </c>
      <c r="E33" s="21" t="inlineStr">
        <is>
          <t>Single Neapolitan oven peak — flag if breached</t>
        </is>
      </c>
    </row>
    <row r="34"/>
    <row r="35">
      <c r="A35" s="16" t="inlineStr">
        <is>
          <t>Cost Drivers</t>
        </is>
      </c>
    </row>
    <row r="36">
      <c r="A36" s="17" t="inlineStr">
        <is>
          <t>Driver</t>
        </is>
      </c>
      <c r="B36" s="17" t="inlineStr">
        <is>
          <t>Value</t>
        </is>
      </c>
      <c r="C36" s="17" t="inlineStr">
        <is>
          <t>Unit</t>
        </is>
      </c>
      <c r="D36" s="17" t="inlineStr"/>
      <c r="E36" s="17" t="inlineStr">
        <is>
          <t>Source / Note</t>
        </is>
      </c>
      <c r="F36" s="17" t="inlineStr"/>
    </row>
    <row r="37">
      <c r="A37" s="18" t="inlineStr">
        <is>
          <t>Food COGS % of food revenue</t>
        </is>
      </c>
      <c r="B37" s="24" t="n">
        <v>0.3</v>
      </c>
      <c r="C37" s="20" t="inlineStr">
        <is>
          <t>%</t>
        </is>
      </c>
      <c r="E37" s="21" t="inlineStr">
        <is>
          <t>Neapolitan target 28–32%; stuffed crust +2% cheese</t>
        </is>
      </c>
    </row>
    <row r="38">
      <c r="A38" s="18" t="inlineStr">
        <is>
          <t>Beverage COGS % of bev revenue</t>
        </is>
      </c>
      <c r="B38" s="24" t="n">
        <v>0.25</v>
      </c>
      <c r="C38" s="20" t="inlineStr">
        <is>
          <t>%</t>
        </is>
      </c>
      <c r="E38" s="21" t="inlineStr">
        <is>
          <t>Bulgaria casual-dining benchmark</t>
        </is>
      </c>
    </row>
    <row r="39">
      <c r="A39" s="18" t="inlineStr">
        <is>
          <t>Beverage share of revenue</t>
        </is>
      </c>
      <c r="B39" s="24" t="n">
        <v>0.18</v>
      </c>
      <c r="C39" s="20" t="inlineStr">
        <is>
          <t>%</t>
        </is>
      </c>
      <c r="E39" s="21" t="inlineStr">
        <is>
          <t>Blended bev share</t>
        </is>
      </c>
    </row>
    <row r="40">
      <c r="A40" s="18" t="inlineStr">
        <is>
          <t>Aggregator commission %</t>
        </is>
      </c>
      <c r="B40" s="24" t="n">
        <v>0.3</v>
      </c>
      <c r="C40" s="20" t="inlineStr">
        <is>
          <t>%</t>
        </is>
      </c>
      <c r="E40" s="21" t="inlineStr">
        <is>
          <t>Glovo/Foodpanda Bulgaria 28–32%; own fleet would lower</t>
        </is>
      </c>
    </row>
    <row r="41">
      <c r="A41" s="18" t="inlineStr">
        <is>
          <t>Rent BGN/month</t>
        </is>
      </c>
      <c r="B41" s="26" t="n">
        <v>6500</v>
      </c>
      <c r="C41" s="20" t="inlineStr">
        <is>
          <t>BGN/mo</t>
        </is>
      </c>
      <c r="E41" s="21" t="inlineStr">
        <is>
          <t>Central Sofia 90 m² @ ~72 BGN/m²/mo</t>
        </is>
      </c>
    </row>
    <row r="42">
      <c r="A42" s="18" t="inlineStr">
        <is>
          <t>Rent annual indexation</t>
        </is>
      </c>
      <c r="B42" s="24" t="n">
        <v>0.03</v>
      </c>
      <c r="C42" s="20" t="inlineStr">
        <is>
          <t>%</t>
        </is>
      </c>
      <c r="E42" s="21" t="inlineStr">
        <is>
          <t>Lease escalator</t>
        </is>
      </c>
    </row>
    <row r="43">
      <c r="A43" s="18" t="inlineStr">
        <is>
          <t>Utilities base BGN/month</t>
        </is>
      </c>
      <c r="B43" s="26" t="n">
        <v>1500</v>
      </c>
      <c r="C43" s="20" t="inlineStr">
        <is>
          <t>BGN/mo</t>
        </is>
      </c>
      <c r="E43" s="21" t="inlineStr">
        <is>
          <t>Power/water/internet</t>
        </is>
      </c>
    </row>
    <row r="44">
      <c r="A44" s="18" t="inlineStr">
        <is>
          <t>Oven gas/wood BGN/month</t>
        </is>
      </c>
      <c r="B44" s="26" t="n">
        <v>750</v>
      </c>
      <c r="C44" s="20" t="inlineStr">
        <is>
          <t>BGN/mo</t>
        </is>
      </c>
      <c r="E44" s="21" t="inlineStr">
        <is>
          <t>Wood-fired oven fuel</t>
        </is>
      </c>
    </row>
    <row r="45">
      <c r="A45" s="18" t="inlineStr">
        <is>
          <t>Head chef gross BGN/month</t>
        </is>
      </c>
      <c r="B45" s="26" t="n">
        <v>3500</v>
      </c>
      <c r="C45" s="20" t="inlineStr">
        <is>
          <t>BGN/mo</t>
        </is>
      </c>
      <c r="E45" s="21" t="inlineStr">
        <is>
          <t>Senior Italian-trained</t>
        </is>
      </c>
    </row>
    <row r="46">
      <c r="A46" s="18" t="inlineStr">
        <is>
          <t>Pizzaioli x2 gross BGN/month each</t>
        </is>
      </c>
      <c r="B46" s="26" t="n">
        <v>2200</v>
      </c>
      <c r="C46" s="20" t="inlineStr">
        <is>
          <t>BGN/mo</t>
        </is>
      </c>
      <c r="E46" s="21" t="inlineStr">
        <is>
          <t>Bulgaria restaurant skilled wage</t>
        </is>
      </c>
    </row>
    <row r="47">
      <c r="A47" s="18" t="inlineStr">
        <is>
          <t>Waiters x2 gross BGN/month each</t>
        </is>
      </c>
      <c r="B47" s="26" t="n">
        <v>1500</v>
      </c>
      <c r="C47" s="20" t="inlineStr">
        <is>
          <t>BGN/mo</t>
        </is>
      </c>
      <c r="E47" s="21" t="inlineStr">
        <is>
          <t>Above Bulgaria min wage 1,077</t>
        </is>
      </c>
    </row>
    <row r="48">
      <c r="A48" s="18" t="inlineStr">
        <is>
          <t>Delivery coordinator (PT) BGN/month</t>
        </is>
      </c>
      <c r="B48" s="26" t="n">
        <v>1200</v>
      </c>
      <c r="C48" s="20" t="inlineStr">
        <is>
          <t>BGN/mo</t>
        </is>
      </c>
      <c r="E48" s="21" t="inlineStr">
        <is>
          <t>Part-time logistics</t>
        </is>
      </c>
    </row>
    <row r="49">
      <c r="A49" s="18" t="inlineStr">
        <is>
          <t>Employer social contributions %</t>
        </is>
      </c>
      <c r="B49" s="24" t="n">
        <v>0.19</v>
      </c>
      <c r="C49" s="20" t="inlineStr">
        <is>
          <t>%</t>
        </is>
      </c>
      <c r="E49" s="21" t="inlineStr">
        <is>
          <t>Bulgaria employer-side payroll taxes</t>
        </is>
      </c>
    </row>
    <row r="50">
      <c r="A50" s="18" t="inlineStr">
        <is>
          <t>Marketing % of revenue Y1 (launch)</t>
        </is>
      </c>
      <c r="B50" s="24" t="n">
        <v>0.05</v>
      </c>
      <c r="C50" s="20" t="inlineStr">
        <is>
          <t>%</t>
        </is>
      </c>
      <c r="E50" s="21" t="inlineStr">
        <is>
          <t>Launch year heavier</t>
        </is>
      </c>
    </row>
    <row r="51">
      <c r="A51" s="18" t="inlineStr">
        <is>
          <t>Marketing % of revenue Y2+ (steady)</t>
        </is>
      </c>
      <c r="B51" s="24" t="n">
        <v>0.03</v>
      </c>
      <c r="C51" s="20" t="inlineStr">
        <is>
          <t>%</t>
        </is>
      </c>
      <c r="E51" s="21" t="inlineStr">
        <is>
          <t>Steady</t>
        </is>
      </c>
    </row>
    <row r="52">
      <c r="A52" s="18" t="inlineStr">
        <is>
          <t>Repairs &amp; maintenance % of revenue</t>
        </is>
      </c>
      <c r="B52" s="24" t="n">
        <v>0.015</v>
      </c>
      <c r="C52" s="20" t="inlineStr">
        <is>
          <t>%</t>
        </is>
      </c>
      <c r="E52" s="21" t="inlineStr">
        <is>
          <t>Industry benchmark</t>
        </is>
      </c>
    </row>
    <row r="53">
      <c r="A53" s="18" t="inlineStr">
        <is>
          <t>Packaging % of revenue</t>
        </is>
      </c>
      <c r="B53" s="24" t="n">
        <v>0.012</v>
      </c>
      <c r="C53" s="20" t="inlineStr">
        <is>
          <t>%</t>
        </is>
      </c>
      <c r="E53" s="21" t="inlineStr">
        <is>
          <t>Delivery + takeaway boxes</t>
        </is>
      </c>
    </row>
    <row r="54">
      <c r="A54" s="18" t="inlineStr">
        <is>
          <t>Insurance &amp; licenses BGN/yr</t>
        </is>
      </c>
      <c r="B54" s="26" t="n">
        <v>4000</v>
      </c>
      <c r="C54" s="20" t="inlineStr">
        <is>
          <t>BGN/yr</t>
        </is>
      </c>
      <c r="E54" s="21" t="inlineStr">
        <is>
          <t>Liability + municipal</t>
        </is>
      </c>
    </row>
    <row r="55">
      <c r="A55" s="18" t="inlineStr">
        <is>
          <t>POS / SaaS BGN/month</t>
        </is>
      </c>
      <c r="B55" s="26" t="n">
        <v>300</v>
      </c>
      <c r="C55" s="20" t="inlineStr">
        <is>
          <t>BGN/mo</t>
        </is>
      </c>
      <c r="E55" s="21" t="inlineStr">
        <is>
          <t>POS + delivery integration</t>
        </is>
      </c>
    </row>
    <row r="56">
      <c r="A56" s="18" t="inlineStr">
        <is>
          <t>Accounting BGN/month</t>
        </is>
      </c>
      <c r="B56" s="26" t="n">
        <v>500</v>
      </c>
      <c r="C56" s="20" t="inlineStr">
        <is>
          <t>BGN/mo</t>
        </is>
      </c>
      <c r="E56" s="21" t="inlineStr">
        <is>
          <t>External bookkeeper</t>
        </is>
      </c>
    </row>
    <row r="57">
      <c r="A57" s="18" t="inlineStr">
        <is>
          <t>Misc % of revenue</t>
        </is>
      </c>
      <c r="B57" s="24" t="n">
        <v>0.01</v>
      </c>
      <c r="C57" s="20" t="inlineStr">
        <is>
          <t>%</t>
        </is>
      </c>
      <c r="E57" s="21" t="inlineStr">
        <is>
          <t>Buffer for one-offs</t>
        </is>
      </c>
    </row>
    <row r="58"/>
    <row r="59">
      <c r="A59" s="16" t="inlineStr">
        <is>
          <t>CAPEX</t>
        </is>
      </c>
    </row>
    <row r="60">
      <c r="A60" s="17" t="inlineStr">
        <is>
          <t>Driver</t>
        </is>
      </c>
      <c r="B60" s="17" t="inlineStr">
        <is>
          <t>Value</t>
        </is>
      </c>
      <c r="C60" s="17" t="inlineStr">
        <is>
          <t>Unit</t>
        </is>
      </c>
      <c r="D60" s="17" t="inlineStr"/>
      <c r="E60" s="17" t="inlineStr">
        <is>
          <t>Source / Note</t>
        </is>
      </c>
      <c r="F60" s="17" t="inlineStr"/>
    </row>
    <row r="61">
      <c r="A61" s="18" t="inlineStr">
        <is>
          <t>Wood-fired oven (Naples import)</t>
        </is>
      </c>
      <c r="B61" s="26" t="n">
        <v>30000</v>
      </c>
      <c r="C61" s="20" t="inlineStr">
        <is>
          <t>BGN</t>
        </is>
      </c>
      <c r="E61" s="21" t="inlineStr">
        <is>
          <t>25–35k typical</t>
        </is>
      </c>
    </row>
    <row r="62">
      <c r="A62" s="18" t="inlineStr">
        <is>
          <t>Kitchen equipment</t>
        </is>
      </c>
      <c r="B62" s="26" t="n">
        <v>35000</v>
      </c>
      <c r="C62" s="20" t="inlineStr">
        <is>
          <t>BGN</t>
        </is>
      </c>
      <c r="E62" s="21" t="inlineStr">
        <is>
          <t>Cold line, prep, dough mixer, fridges</t>
        </is>
      </c>
    </row>
    <row r="63">
      <c r="A63" s="18" t="inlineStr">
        <is>
          <t>Fit-out / design / 6 tables / lighting</t>
        </is>
      </c>
      <c r="B63" s="26" t="n">
        <v>75000</v>
      </c>
      <c r="C63" s="20" t="inlineStr">
        <is>
          <t>BGN</t>
        </is>
      </c>
      <c r="E63" s="21" t="inlineStr">
        <is>
          <t>60–90k for central Sofia</t>
        </is>
      </c>
    </row>
    <row r="64">
      <c r="A64" s="18" t="inlineStr">
        <is>
          <t>POS + delivery integration</t>
        </is>
      </c>
      <c r="B64" s="26" t="n">
        <v>5000</v>
      </c>
      <c r="C64" s="20" t="inlineStr">
        <is>
          <t>BGN</t>
        </is>
      </c>
      <c r="E64" s="21" t="inlineStr">
        <is>
          <t>Hardware + software</t>
        </is>
      </c>
    </row>
    <row r="65">
      <c r="A65" s="18" t="inlineStr">
        <is>
          <t>Signage</t>
        </is>
      </c>
      <c r="B65" s="26" t="n">
        <v>8000</v>
      </c>
      <c r="C65" s="20" t="inlineStr">
        <is>
          <t>BGN</t>
        </is>
      </c>
      <c r="E65" s="21" t="inlineStr">
        <is>
          <t>External + interior</t>
        </is>
      </c>
    </row>
    <row r="66">
      <c r="A66" s="18" t="inlineStr">
        <is>
          <t>Opening inventory</t>
        </is>
      </c>
      <c r="B66" s="26" t="n">
        <v>10000</v>
      </c>
      <c r="C66" s="20" t="inlineStr">
        <is>
          <t>BGN</t>
        </is>
      </c>
      <c r="E66" s="21" t="inlineStr">
        <is>
          <t>Food + bev launch stock</t>
        </is>
      </c>
    </row>
    <row r="67">
      <c r="A67" s="18" t="inlineStr">
        <is>
          <t>Deposits &amp; legal</t>
        </is>
      </c>
      <c r="B67" s="26" t="n">
        <v>15000</v>
      </c>
      <c r="C67" s="20" t="inlineStr">
        <is>
          <t>BGN</t>
        </is>
      </c>
      <c r="E67" s="21" t="inlineStr">
        <is>
          <t>Lease deposit + setup</t>
        </is>
      </c>
    </row>
    <row r="68">
      <c r="A68" s="18" t="inlineStr">
        <is>
          <t>Pre-opening marketing</t>
        </is>
      </c>
      <c r="B68" s="26" t="n">
        <v>10000</v>
      </c>
      <c r="C68" s="20" t="inlineStr">
        <is>
          <t>BGN</t>
        </is>
      </c>
      <c r="E68" s="21" t="inlineStr">
        <is>
          <t>Launch buzz</t>
        </is>
      </c>
    </row>
    <row r="69">
      <c r="A69" s="18" t="inlineStr">
        <is>
          <t>Contingency</t>
        </is>
      </c>
      <c r="B69" s="26" t="n">
        <v>12000</v>
      </c>
      <c r="C69" s="20" t="inlineStr">
        <is>
          <t>BGN</t>
        </is>
      </c>
      <c r="E69" s="21" t="inlineStr">
        <is>
          <t>6% buffer</t>
        </is>
      </c>
    </row>
    <row r="70">
      <c r="A70" s="18" t="inlineStr">
        <is>
          <t>Total Opening CAPEX</t>
        </is>
      </c>
      <c r="B70" s="26" t="n">
        <v>200000</v>
      </c>
      <c r="C70" s="20" t="inlineStr">
        <is>
          <t>BGN</t>
        </is>
      </c>
      <c r="E70" s="21" t="inlineStr">
        <is>
          <t>Central case</t>
        </is>
      </c>
    </row>
    <row r="71">
      <c r="A71" s="18" t="inlineStr">
        <is>
          <t>Maintenance CAPEX % of revenue (Y2+)</t>
        </is>
      </c>
      <c r="B71" s="24" t="n">
        <v>0.02</v>
      </c>
      <c r="C71" s="20" t="inlineStr">
        <is>
          <t>%</t>
        </is>
      </c>
      <c r="E71" s="21" t="inlineStr">
        <is>
          <t>Ongoing reinvestment</t>
        </is>
      </c>
    </row>
    <row r="72">
      <c r="A72" s="18" t="inlineStr">
        <is>
          <t>D&amp;A useful life</t>
        </is>
      </c>
      <c r="B72" s="19" t="n">
        <v>7</v>
      </c>
      <c r="C72" s="20" t="inlineStr">
        <is>
          <t>years</t>
        </is>
      </c>
      <c r="E72" s="21" t="inlineStr">
        <is>
          <t>Straight-line</t>
        </is>
      </c>
    </row>
    <row r="73"/>
    <row r="74">
      <c r="A74" s="16" t="inlineStr">
        <is>
          <t>Financing &amp; Valuation</t>
        </is>
      </c>
    </row>
    <row r="75">
      <c r="A75" s="17" t="inlineStr">
        <is>
          <t>Driver</t>
        </is>
      </c>
      <c r="B75" s="17" t="inlineStr">
        <is>
          <t>Value</t>
        </is>
      </c>
      <c r="C75" s="17" t="inlineStr">
        <is>
          <t>Unit</t>
        </is>
      </c>
      <c r="D75" s="17" t="inlineStr"/>
      <c r="E75" s="17" t="inlineStr">
        <is>
          <t>Source / Note</t>
        </is>
      </c>
      <c r="F75" s="17" t="inlineStr"/>
    </row>
    <row r="76">
      <c r="A76" s="18" t="inlineStr">
        <is>
          <t>Working capital buffer</t>
        </is>
      </c>
      <c r="B76" s="26" t="n">
        <v>20000</v>
      </c>
      <c r="C76" s="20" t="inlineStr">
        <is>
          <t>BGN</t>
        </is>
      </c>
      <c r="E76" s="21" t="inlineStr">
        <is>
          <t>Recovered at exit</t>
        </is>
      </c>
    </row>
    <row r="77">
      <c r="A77" s="18" t="inlineStr">
        <is>
          <t>Equity funding (100%)</t>
        </is>
      </c>
      <c r="B77" s="26" t="n">
        <v>220000</v>
      </c>
      <c r="C77" s="20" t="inlineStr">
        <is>
          <t>BGN</t>
        </is>
      </c>
      <c r="E77" s="21" t="inlineStr">
        <is>
          <t>Opening CAPEX + WC</t>
        </is>
      </c>
    </row>
    <row r="78">
      <c r="A78" s="18" t="inlineStr">
        <is>
          <t>Discount rate (WACC proxy)</t>
        </is>
      </c>
      <c r="B78" s="24" t="n">
        <v>0.12</v>
      </c>
      <c r="C78" s="20" t="inlineStr">
        <is>
          <t>%</t>
        </is>
      </c>
      <c r="E78" s="21" t="inlineStr">
        <is>
          <t>Independent restaurant CEE</t>
        </is>
      </c>
    </row>
    <row r="79">
      <c r="A79" s="18" t="inlineStr">
        <is>
          <t>Exit EBITDA multiple</t>
        </is>
      </c>
      <c r="B79" s="27" t="n">
        <v>4.5</v>
      </c>
      <c r="C79" s="20" t="inlineStr">
        <is>
          <t>x</t>
        </is>
      </c>
      <c r="E79" s="21" t="inlineStr">
        <is>
          <t>Independent QSR CEE sector standard</t>
        </is>
      </c>
    </row>
    <row r="80">
      <c r="A80" s="18" t="inlineStr">
        <is>
          <t>Interest expense</t>
        </is>
      </c>
      <c r="B80" s="26" t="n">
        <v>0</v>
      </c>
      <c r="C80" s="20" t="inlineStr">
        <is>
          <t>BGN</t>
        </is>
      </c>
      <c r="E80" s="21" t="inlineStr">
        <is>
          <t>All-equity capital stack</t>
        </is>
      </c>
    </row>
    <row r="81"/>
    <row r="82">
      <c r="A82" s="16" t="inlineStr">
        <is>
          <t>Tax</t>
        </is>
      </c>
    </row>
    <row r="83">
      <c r="A83" s="17" t="inlineStr">
        <is>
          <t>Driver</t>
        </is>
      </c>
      <c r="B83" s="17" t="inlineStr">
        <is>
          <t>Value</t>
        </is>
      </c>
      <c r="C83" s="17" t="inlineStr">
        <is>
          <t>Unit</t>
        </is>
      </c>
      <c r="D83" s="17" t="inlineStr"/>
      <c r="E83" s="17" t="inlineStr">
        <is>
          <t>Source / Note</t>
        </is>
      </c>
      <c r="F83" s="17" t="inlineStr"/>
    </row>
    <row r="84">
      <c r="A84" s="18" t="inlineStr">
        <is>
          <t>VAT — food (in-shop &amp; delivery)</t>
        </is>
      </c>
      <c r="B84" s="24" t="n">
        <v>0.09</v>
      </c>
      <c r="C84" s="20" t="inlineStr">
        <is>
          <t>%</t>
        </is>
      </c>
      <c r="E84" s="21" t="inlineStr">
        <is>
          <t>Bulgaria reduced rate</t>
        </is>
      </c>
    </row>
    <row r="85">
      <c r="A85" s="18" t="inlineStr">
        <is>
          <t>VAT — alcohol</t>
        </is>
      </c>
      <c r="B85" s="24" t="n">
        <v>0.2</v>
      </c>
      <c r="C85" s="20" t="inlineStr">
        <is>
          <t>%</t>
        </is>
      </c>
      <c r="E85" s="21" t="inlineStr">
        <is>
          <t>Standard rate</t>
        </is>
      </c>
    </row>
    <row r="86">
      <c r="A86" s="18" t="inlineStr">
        <is>
          <t>Blended VAT (model)</t>
        </is>
      </c>
      <c r="B86" s="24" t="n">
        <v>0.1</v>
      </c>
      <c r="C86" s="20" t="inlineStr">
        <is>
          <t>%</t>
        </is>
      </c>
      <c r="E86" s="21" t="inlineStr">
        <is>
          <t>Weighted blend used in model</t>
        </is>
      </c>
    </row>
    <row r="87">
      <c r="A87" s="18" t="inlineStr">
        <is>
          <t>Corporate income tax</t>
        </is>
      </c>
      <c r="B87" s="24" t="n">
        <v>0.1</v>
      </c>
      <c r="C87" s="20" t="inlineStr">
        <is>
          <t>%</t>
        </is>
      </c>
      <c r="E87" s="21" t="inlineStr">
        <is>
          <t>Bulgaria flat CIT (lowest in EU)</t>
        </is>
      </c>
    </row>
    <row r="88"/>
    <row r="89"/>
  </sheetData>
  <mergeCells count="74">
    <mergeCell ref="E43:F43"/>
    <mergeCell ref="E12:F12"/>
    <mergeCell ref="E50:F50"/>
    <mergeCell ref="E55:F55"/>
    <mergeCell ref="E24:F24"/>
    <mergeCell ref="E62:F62"/>
    <mergeCell ref="E68:F68"/>
    <mergeCell ref="E33:F33"/>
    <mergeCell ref="E71:F71"/>
    <mergeCell ref="E67:F67"/>
    <mergeCell ref="E42:F42"/>
    <mergeCell ref="E23:F23"/>
    <mergeCell ref="A74:F74"/>
    <mergeCell ref="E52:F52"/>
    <mergeCell ref="A3:F3"/>
    <mergeCell ref="E17:F17"/>
    <mergeCell ref="E48:F48"/>
    <mergeCell ref="E39:F39"/>
    <mergeCell ref="E8:F8"/>
    <mergeCell ref="E64:F64"/>
    <mergeCell ref="E44:F44"/>
    <mergeCell ref="E79:F79"/>
    <mergeCell ref="E51:F51"/>
    <mergeCell ref="E20:F20"/>
    <mergeCell ref="E38:F38"/>
    <mergeCell ref="E87:F87"/>
    <mergeCell ref="E29:F29"/>
    <mergeCell ref="E10:F10"/>
    <mergeCell ref="A14:F14"/>
    <mergeCell ref="A5:F5"/>
    <mergeCell ref="E19:F19"/>
    <mergeCell ref="E63:F63"/>
    <mergeCell ref="E28:F28"/>
    <mergeCell ref="A35:F35"/>
    <mergeCell ref="E69:F69"/>
    <mergeCell ref="E84:F84"/>
    <mergeCell ref="E40:F40"/>
    <mergeCell ref="E9:F9"/>
    <mergeCell ref="E78:F78"/>
    <mergeCell ref="E31:F31"/>
    <mergeCell ref="E56:F56"/>
    <mergeCell ref="E65:F65"/>
    <mergeCell ref="E30:F30"/>
    <mergeCell ref="E77:F77"/>
    <mergeCell ref="E46:F46"/>
    <mergeCell ref="E86:F86"/>
    <mergeCell ref="E80:F80"/>
    <mergeCell ref="E11:F11"/>
    <mergeCell ref="E49:F49"/>
    <mergeCell ref="E27:F27"/>
    <mergeCell ref="E45:F45"/>
    <mergeCell ref="E61:F61"/>
    <mergeCell ref="E26:F26"/>
    <mergeCell ref="E70:F70"/>
    <mergeCell ref="A59:F59"/>
    <mergeCell ref="E57:F57"/>
    <mergeCell ref="A82:F82"/>
    <mergeCell ref="E85:F85"/>
    <mergeCell ref="E16:F16"/>
    <mergeCell ref="E54:F54"/>
    <mergeCell ref="E32:F32"/>
    <mergeCell ref="E7:F7"/>
    <mergeCell ref="E25:F25"/>
    <mergeCell ref="E72:F72"/>
    <mergeCell ref="A1:F1"/>
    <mergeCell ref="E41:F41"/>
    <mergeCell ref="E76:F76"/>
    <mergeCell ref="E37:F37"/>
    <mergeCell ref="E22:F22"/>
    <mergeCell ref="E53:F53"/>
    <mergeCell ref="E66:F66"/>
    <mergeCell ref="E18:F18"/>
    <mergeCell ref="E47:F47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SALVATORE PIZZA  —  REVENUE BUILD</t>
        </is>
      </c>
    </row>
    <row r="3">
      <c r="A3" s="15" t="inlineStr">
        <is>
          <t>Annual roll-up. Scenario flex applies multiplier to covers/day and ASP.</t>
        </is>
      </c>
    </row>
    <row r="4">
      <c r="A4" s="17" t="inlineStr">
        <is>
          <t>Line</t>
        </is>
      </c>
      <c r="B4" s="17" t="inlineStr">
        <is>
          <t>Driver / Unit</t>
        </is>
      </c>
      <c r="C4" s="17" t="inlineStr">
        <is>
          <t>Y1 2026</t>
        </is>
      </c>
      <c r="D4" s="17" t="inlineStr">
        <is>
          <t>Y2 2027</t>
        </is>
      </c>
      <c r="E4" s="17" t="inlineStr">
        <is>
          <t>Y3 2028</t>
        </is>
      </c>
      <c r="F4" s="17" t="inlineStr">
        <is>
          <t>Y4 2029</t>
        </is>
      </c>
      <c r="G4" s="17" t="inlineStr">
        <is>
          <t>Y5 2030</t>
        </is>
      </c>
    </row>
    <row r="6">
      <c r="A6" t="inlineStr">
        <is>
          <t>Scenario multiplier (volume &amp; ASP)</t>
        </is>
      </c>
      <c r="B6" t="inlineStr">
        <is>
          <t>x</t>
        </is>
      </c>
      <c r="C6" s="28">
        <f>IF(Assumptions!$B$11="Bull",1+Assumptions!$B$12,IF(Assumptions!$B$11="Bear",1-Assumptions!$B$12,1))</f>
        <v/>
      </c>
      <c r="D6" s="28">
        <f>IF(Assumptions!$B$11="Bull",1+Assumptions!$B$12,IF(Assumptions!$B$11="Bear",1-Assumptions!$B$12,1))</f>
        <v/>
      </c>
      <c r="E6" s="28">
        <f>IF(Assumptions!$B$11="Bull",1+Assumptions!$B$12,IF(Assumptions!$B$11="Bear",1-Assumptions!$B$12,1))</f>
        <v/>
      </c>
      <c r="F6" s="28">
        <f>IF(Assumptions!$B$11="Bull",1+Assumptions!$B$12,IF(Assumptions!$B$11="Bear",1-Assumptions!$B$12,1))</f>
        <v/>
      </c>
      <c r="G6" s="28">
        <f>IF(Assumptions!$B$11="Bull",1+Assumptions!$B$12,IF(Assumptions!$B$11="Bear",1-Assumptions!$B$12,1))</f>
        <v/>
      </c>
    </row>
    <row r="8">
      <c r="A8" s="29" t="inlineStr">
        <is>
          <t>DINE-IN</t>
        </is>
      </c>
      <c r="B8" s="30" t="inlineStr"/>
    </row>
    <row r="9">
      <c r="A9" t="inlineStr">
        <is>
          <t xml:space="preserve">  Tables × seats/table</t>
        </is>
      </c>
      <c r="B9" t="inlineStr">
        <is>
          <t>pax</t>
        </is>
      </c>
      <c r="C9" s="31">
        <f>Assumptions!$B$16*Assumptions!$B$17</f>
        <v/>
      </c>
      <c r="D9" s="31">
        <f>Assumptions!$B$16*Assumptions!$B$17</f>
        <v/>
      </c>
      <c r="E9" s="31">
        <f>Assumptions!$B$16*Assumptions!$B$17</f>
        <v/>
      </c>
      <c r="F9" s="31">
        <f>Assumptions!$B$16*Assumptions!$B$17</f>
        <v/>
      </c>
      <c r="G9" s="31">
        <f>Assumptions!$B$16*Assumptions!$B$17</f>
        <v/>
      </c>
    </row>
    <row r="10">
      <c r="A10" t="inlineStr">
        <is>
          <t xml:space="preserve">  Lunch turns/day</t>
        </is>
      </c>
      <c r="B10" t="inlineStr">
        <is>
          <t>turns</t>
        </is>
      </c>
      <c r="C10" s="32">
        <f>Assumptions!$B$18</f>
        <v/>
      </c>
      <c r="D10" s="32">
        <f>(Assumptions!$B$18+Assumptions!$B$20)/2</f>
        <v/>
      </c>
      <c r="E10" s="32">
        <f>Assumptions!$B$20</f>
        <v/>
      </c>
      <c r="F10" s="32">
        <f>Assumptions!$B$20</f>
        <v/>
      </c>
      <c r="G10" s="32">
        <f>Assumptions!$B$20</f>
        <v/>
      </c>
    </row>
    <row r="11">
      <c r="A11" t="inlineStr">
        <is>
          <t xml:space="preserve">  Dinner turns/day</t>
        </is>
      </c>
      <c r="B11" t="inlineStr">
        <is>
          <t>turns</t>
        </is>
      </c>
      <c r="C11" s="32">
        <f>Assumptions!$B$19</f>
        <v/>
      </c>
      <c r="D11" s="32">
        <f>(Assumptions!$B$19+Assumptions!$B$21)/2</f>
        <v/>
      </c>
      <c r="E11" s="32">
        <f>Assumptions!$B$21</f>
        <v/>
      </c>
      <c r="F11" s="32">
        <f>Assumptions!$B$21</f>
        <v/>
      </c>
      <c r="G11" s="32">
        <f>Assumptions!$B$21</f>
        <v/>
      </c>
    </row>
    <row r="12">
      <c r="A12" t="inlineStr">
        <is>
          <t xml:space="preserve">  Daily covers (lunch + dinner)</t>
        </is>
      </c>
      <c r="B12" t="inlineStr">
        <is>
          <t>covers</t>
        </is>
      </c>
      <c r="C12" s="31">
        <f>C9*(C10+C11)*C6</f>
        <v/>
      </c>
      <c r="D12" s="31">
        <f>D9*(D10+D11)*D6</f>
        <v/>
      </c>
      <c r="E12" s="31">
        <f>E9*(E10+E11)*E6</f>
        <v/>
      </c>
      <c r="F12" s="31">
        <f>F9*(F10+F11)*F6</f>
        <v/>
      </c>
      <c r="G12" s="31">
        <f>G9*(G10+G11)*G6</f>
        <v/>
      </c>
    </row>
    <row r="13">
      <c r="A13" t="inlineStr">
        <is>
          <t xml:space="preserve">  Avg ticket BGN/cover (scen-flexed)</t>
        </is>
      </c>
      <c r="B13" t="inlineStr">
        <is>
          <t>BGN</t>
        </is>
      </c>
      <c r="C13" s="33">
        <f>Assumptions!$B$22*C6</f>
        <v/>
      </c>
      <c r="D13" s="33">
        <f>Assumptions!$B$22*D6</f>
        <v/>
      </c>
      <c r="E13" s="33">
        <f>Assumptions!$B$22*E6</f>
        <v/>
      </c>
      <c r="F13" s="33">
        <f>Assumptions!$B$22*F6</f>
        <v/>
      </c>
      <c r="G13" s="33">
        <f>Assumptions!$B$22*G6</f>
        <v/>
      </c>
    </row>
    <row r="14">
      <c r="A14" s="4" t="inlineStr">
        <is>
          <t>Dine-in revenue (annual)</t>
        </is>
      </c>
      <c r="B14" t="inlineStr">
        <is>
          <t>BGN</t>
        </is>
      </c>
      <c r="C14" s="7">
        <f>C12*C13*Assumptions!$B$7</f>
        <v/>
      </c>
      <c r="D14" s="7">
        <f>C14*(1+Assumptions!$B$29)</f>
        <v/>
      </c>
      <c r="E14" s="7">
        <f>D14*(1+Assumptions!$B$30)</f>
        <v/>
      </c>
      <c r="F14" s="7">
        <f>E14*(1+Assumptions!$B$31)</f>
        <v/>
      </c>
      <c r="G14" s="7">
        <f>F14*(1+Assumptions!$B$32)</f>
        <v/>
      </c>
    </row>
    <row r="16">
      <c r="A16" s="29" t="inlineStr">
        <is>
          <t>TAKEAWAY</t>
        </is>
      </c>
    </row>
    <row r="17">
      <c r="A17" t="inlineStr">
        <is>
          <t xml:space="preserve">  Takeaway orders/day</t>
        </is>
      </c>
      <c r="B17" t="inlineStr">
        <is>
          <t>orders</t>
        </is>
      </c>
      <c r="C17" s="31">
        <f>Assumptions!$B$23*C6</f>
        <v/>
      </c>
      <c r="D17" s="31">
        <f>(Assumptions!$B$23+Assumptions!$B$24)/2*D6</f>
        <v/>
      </c>
      <c r="E17" s="31">
        <f>Assumptions!$B$24*E6</f>
        <v/>
      </c>
      <c r="F17" s="31">
        <f>Assumptions!$B$24*F6</f>
        <v/>
      </c>
      <c r="G17" s="31">
        <f>Assumptions!$B$24*G6</f>
        <v/>
      </c>
    </row>
    <row r="18">
      <c r="A18" t="inlineStr">
        <is>
          <t xml:space="preserve">  Avg ticket (scen-flexed)</t>
        </is>
      </c>
      <c r="B18" t="inlineStr">
        <is>
          <t>BGN</t>
        </is>
      </c>
      <c r="C18" s="33">
        <f>Assumptions!$B$25*C6</f>
        <v/>
      </c>
      <c r="D18" s="33">
        <f>Assumptions!$B$25*D6</f>
        <v/>
      </c>
      <c r="E18" s="33">
        <f>Assumptions!$B$25*E6</f>
        <v/>
      </c>
      <c r="F18" s="33">
        <f>Assumptions!$B$25*F6</f>
        <v/>
      </c>
      <c r="G18" s="33">
        <f>Assumptions!$B$25*G6</f>
        <v/>
      </c>
    </row>
    <row r="19">
      <c r="A19" s="4" t="inlineStr">
        <is>
          <t>Takeaway revenue (annual)</t>
        </is>
      </c>
      <c r="B19" t="inlineStr">
        <is>
          <t>BGN</t>
        </is>
      </c>
      <c r="C19" s="7">
        <f>C17*C18*Assumptions!$B$7</f>
        <v/>
      </c>
      <c r="D19" s="7">
        <f>C19*(1+Assumptions!$B$29)</f>
        <v/>
      </c>
      <c r="E19" s="7">
        <f>D19*(1+Assumptions!$B$30)</f>
        <v/>
      </c>
      <c r="F19" s="7">
        <f>E19*(1+Assumptions!$B$31)</f>
        <v/>
      </c>
      <c r="G19" s="7">
        <f>F19*(1+Assumptions!$B$32)</f>
        <v/>
      </c>
    </row>
    <row r="21">
      <c r="A21" s="29" t="inlineStr">
        <is>
          <t>DELIVERY (gross)</t>
        </is>
      </c>
    </row>
    <row r="22">
      <c r="A22" t="inlineStr">
        <is>
          <t xml:space="preserve">  Delivery orders/day</t>
        </is>
      </c>
      <c r="B22" t="inlineStr">
        <is>
          <t>orders</t>
        </is>
      </c>
      <c r="C22" s="31">
        <f>Assumptions!$B$26*C6</f>
        <v/>
      </c>
      <c r="D22" s="31">
        <f>(Assumptions!$B$26+Assumptions!$B$27)/2*D6</f>
        <v/>
      </c>
      <c r="E22" s="31">
        <f>Assumptions!$B$27*E6</f>
        <v/>
      </c>
      <c r="F22" s="31">
        <f>Assumptions!$B$27*F6</f>
        <v/>
      </c>
      <c r="G22" s="31">
        <f>Assumptions!$B$27*G6</f>
        <v/>
      </c>
    </row>
    <row r="23">
      <c r="A23" t="inlineStr">
        <is>
          <t xml:space="preserve">  Avg ticket gross (scen-flexed)</t>
        </is>
      </c>
      <c r="B23" t="inlineStr">
        <is>
          <t>BGN</t>
        </is>
      </c>
      <c r="C23" s="33">
        <f>Assumptions!$B$28*C6</f>
        <v/>
      </c>
      <c r="D23" s="33">
        <f>Assumptions!$B$28*D6</f>
        <v/>
      </c>
      <c r="E23" s="33">
        <f>Assumptions!$B$28*E6</f>
        <v/>
      </c>
      <c r="F23" s="33">
        <f>Assumptions!$B$28*F6</f>
        <v/>
      </c>
      <c r="G23" s="33">
        <f>Assumptions!$B$28*G6</f>
        <v/>
      </c>
    </row>
    <row r="24">
      <c r="A24" s="4" t="inlineStr">
        <is>
          <t>Delivery revenue GROSS (annual)</t>
        </is>
      </c>
      <c r="B24" t="inlineStr">
        <is>
          <t>BGN</t>
        </is>
      </c>
      <c r="C24" s="34">
        <f>C22*C23*Assumptions!$B$7</f>
        <v/>
      </c>
      <c r="D24" s="34">
        <f>C24*(1+Assumptions!$B$29)</f>
        <v/>
      </c>
      <c r="E24" s="34">
        <f>D24*(1+Assumptions!$B$30)</f>
        <v/>
      </c>
      <c r="F24" s="34">
        <f>E24*(1+Assumptions!$B$31)</f>
        <v/>
      </c>
      <c r="G24" s="34">
        <f>F24*(1+Assumptions!$B$32)</f>
        <v/>
      </c>
    </row>
    <row r="25">
      <c r="A25" t="inlineStr">
        <is>
          <t xml:space="preserve">  Less: aggregator commission</t>
        </is>
      </c>
      <c r="B25" t="inlineStr">
        <is>
          <t>BGN</t>
        </is>
      </c>
      <c r="C25" s="33">
        <f>-C24*Assumptions!$B$40</f>
        <v/>
      </c>
      <c r="D25" s="33">
        <f>-D24*Assumptions!$B$40</f>
        <v/>
      </c>
      <c r="E25" s="33">
        <f>-E24*Assumptions!$B$40</f>
        <v/>
      </c>
      <c r="F25" s="33">
        <f>-F24*Assumptions!$B$40</f>
        <v/>
      </c>
      <c r="G25" s="33">
        <f>-G24*Assumptions!$B$40</f>
        <v/>
      </c>
    </row>
    <row r="26">
      <c r="A26" s="4" t="inlineStr">
        <is>
          <t>Delivery revenue NET (annual)</t>
        </is>
      </c>
      <c r="B26" t="inlineStr">
        <is>
          <t>BGN</t>
        </is>
      </c>
      <c r="C26" s="7">
        <f>C24+C25</f>
        <v/>
      </c>
      <c r="D26" s="7">
        <f>D24+D25</f>
        <v/>
      </c>
      <c r="E26" s="7">
        <f>E24+E25</f>
        <v/>
      </c>
      <c r="F26" s="7">
        <f>F24+F25</f>
        <v/>
      </c>
      <c r="G26" s="7">
        <f>G24+G25</f>
        <v/>
      </c>
    </row>
    <row r="28">
      <c r="A28" s="35" t="inlineStr">
        <is>
          <t>TOTAL REVENUE (Net)</t>
        </is>
      </c>
      <c r="B28" t="inlineStr">
        <is>
          <t>BGN</t>
        </is>
      </c>
      <c r="C28" s="7">
        <f>C14+C19+C26</f>
        <v/>
      </c>
      <c r="D28" s="7">
        <f>D14+D19+D26</f>
        <v/>
      </c>
      <c r="E28" s="7">
        <f>E14+E19+E26</f>
        <v/>
      </c>
      <c r="F28" s="7">
        <f>F14+F19+F26</f>
        <v/>
      </c>
      <c r="G28" s="7">
        <f>G14+G19+G26</f>
        <v/>
      </c>
    </row>
    <row r="29">
      <c r="A29" s="36" t="inlineStr">
        <is>
          <t xml:space="preserve">  of which: Gross delivery (for COGS/comm calc)</t>
        </is>
      </c>
      <c r="C29" s="33">
        <f>C24</f>
        <v/>
      </c>
      <c r="D29" s="33">
        <f>D24</f>
        <v/>
      </c>
      <c r="E29" s="33">
        <f>E24</f>
        <v/>
      </c>
      <c r="F29" s="33">
        <f>F24</f>
        <v/>
      </c>
      <c r="G29" s="33">
        <f>G24</f>
        <v/>
      </c>
    </row>
    <row r="31">
      <c r="A31" s="29" t="inlineStr">
        <is>
          <t>OVEN CAPACITY CHECK</t>
        </is>
      </c>
    </row>
    <row r="32">
      <c r="A32" t="inlineStr">
        <is>
          <t xml:space="preserve">  Implied pizzas/day (≈ 90% of orders)</t>
        </is>
      </c>
      <c r="B32" t="inlineStr">
        <is>
          <t>pizzas</t>
        </is>
      </c>
      <c r="C32" s="31">
        <f>(C12*0.7+C17+C22)</f>
        <v/>
      </c>
      <c r="D32" s="31">
        <f>(D12*0.7+D17+D22)</f>
        <v/>
      </c>
      <c r="E32" s="31">
        <f>(E12*0.7+E17+E22)</f>
        <v/>
      </c>
      <c r="F32" s="31">
        <f>(F12*0.7+F17+F22)</f>
        <v/>
      </c>
      <c r="G32" s="31">
        <f>(G12*0.7+G17+G22)</f>
        <v/>
      </c>
    </row>
    <row r="33">
      <c r="A33" t="inlineStr">
        <is>
          <t xml:space="preserve">  Oven ceiling (pizzas/day)</t>
        </is>
      </c>
      <c r="B33" t="inlineStr">
        <is>
          <t>pizzas</t>
        </is>
      </c>
      <c r="C33" s="31">
        <f>Assumptions!$B$33</f>
        <v/>
      </c>
      <c r="D33" s="31">
        <f>Assumptions!$B$33</f>
        <v/>
      </c>
      <c r="E33" s="31">
        <f>Assumptions!$B$33</f>
        <v/>
      </c>
      <c r="F33" s="31">
        <f>Assumptions!$B$33</f>
        <v/>
      </c>
      <c r="G33" s="31">
        <f>Assumptions!$B$33</f>
        <v/>
      </c>
    </row>
    <row r="34">
      <c r="A34" s="36" t="inlineStr">
        <is>
          <t xml:space="preserve">  Utilisation</t>
        </is>
      </c>
      <c r="C34" s="37">
        <f>C32/C33</f>
        <v/>
      </c>
      <c r="D34" s="37">
        <f>D32/D33</f>
        <v/>
      </c>
      <c r="E34" s="37">
        <f>E32/E33</f>
        <v/>
      </c>
      <c r="F34" s="37">
        <f>F32/F33</f>
        <v/>
      </c>
      <c r="G34" s="37">
        <f>G32/G33</f>
        <v/>
      </c>
    </row>
  </sheetData>
  <mergeCells count="2">
    <mergeCell ref="A3:H3"/>
    <mergeCell ref="A1:H1"/>
  </mergeCells>
  <conditionalFormatting sqref="C34:G34">
    <cfRule type="cellIs" priority="1" operator="greaterThan" dxfId="0">
      <formula>1</formula>
    </cfRule>
    <cfRule type="cellIs" priority="2" operator="lessThanOrEqual" dxfId="1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1" t="inlineStr">
        <is>
          <t>SALVATORE PIZZA  —  COST FORECAST</t>
        </is>
      </c>
    </row>
    <row r="3">
      <c r="A3" s="15" t="inlineStr">
        <is>
          <t>Each cost shown in BGN and as % of total revenue. Linked to Revenue Build &amp; Assumptions.</t>
        </is>
      </c>
    </row>
    <row r="4">
      <c r="A4" s="17" t="inlineStr">
        <is>
          <t>Cost Line</t>
        </is>
      </c>
      <c r="B4" s="17" t="inlineStr">
        <is>
          <t>Y1 2026</t>
        </is>
      </c>
      <c r="D4" s="17" t="inlineStr">
        <is>
          <t>Y2 2027</t>
        </is>
      </c>
      <c r="F4" s="17" t="inlineStr">
        <is>
          <t>Y3 2028</t>
        </is>
      </c>
      <c r="H4" s="17" t="inlineStr">
        <is>
          <t>Y4 2029</t>
        </is>
      </c>
      <c r="J4" s="17" t="inlineStr">
        <is>
          <t>Y5 2030</t>
        </is>
      </c>
    </row>
    <row r="5">
      <c r="A5" t="inlineStr"/>
      <c r="B5" s="17" t="inlineStr">
        <is>
          <t>BGN</t>
        </is>
      </c>
      <c r="C5" s="17" t="inlineStr">
        <is>
          <t>% rev</t>
        </is>
      </c>
      <c r="D5" s="17" t="inlineStr">
        <is>
          <t>BGN</t>
        </is>
      </c>
      <c r="E5" s="17" t="inlineStr">
        <is>
          <t>% rev</t>
        </is>
      </c>
      <c r="F5" s="17" t="inlineStr">
        <is>
          <t>BGN</t>
        </is>
      </c>
      <c r="G5" s="17" t="inlineStr">
        <is>
          <t>% rev</t>
        </is>
      </c>
      <c r="H5" s="17" t="inlineStr">
        <is>
          <t>BGN</t>
        </is>
      </c>
      <c r="I5" s="17" t="inlineStr">
        <is>
          <t>% rev</t>
        </is>
      </c>
      <c r="J5" s="17" t="inlineStr">
        <is>
          <t>BGN</t>
        </is>
      </c>
      <c r="K5" s="17" t="inlineStr">
        <is>
          <t>% rev</t>
        </is>
      </c>
    </row>
    <row r="6">
      <c r="A6" s="36" t="inlineStr">
        <is>
          <t>Total Revenue (ref)</t>
        </is>
      </c>
      <c r="B6" s="33">
        <f>'Revenue Build'!C28</f>
        <v/>
      </c>
      <c r="C6" s="38" t="inlineStr"/>
      <c r="D6" s="33">
        <f>'Revenue Build'!D28</f>
        <v/>
      </c>
      <c r="E6" s="38" t="inlineStr"/>
      <c r="F6" s="33">
        <f>'Revenue Build'!E28</f>
        <v/>
      </c>
      <c r="G6" s="38" t="inlineStr"/>
      <c r="H6" s="33">
        <f>'Revenue Build'!F28</f>
        <v/>
      </c>
      <c r="I6" s="38" t="inlineStr"/>
      <c r="J6" s="33">
        <f>'Revenue Build'!G28</f>
        <v/>
      </c>
      <c r="K6" s="38" t="inlineStr"/>
    </row>
    <row r="7">
      <c r="A7" s="29" t="inlineStr">
        <is>
          <t>COGS</t>
        </is>
      </c>
    </row>
    <row r="8">
      <c r="A8" s="18" t="inlineStr">
        <is>
          <t xml:space="preserve">  Food COGS</t>
        </is>
      </c>
      <c r="B8" s="33">
        <f>'Revenue Build'!C28*(1-Assumptions!$B$39)*Assumptions!$B$37</f>
        <v/>
      </c>
      <c r="C8" s="39">
        <f>IFERROR(B8/B6,0)</f>
        <v/>
      </c>
      <c r="D8" s="33">
        <f>'Revenue Build'!D28*(1-Assumptions!$B$39)*Assumptions!$B$37</f>
        <v/>
      </c>
      <c r="E8" s="39">
        <f>IFERROR(D8/D6,0)</f>
        <v/>
      </c>
      <c r="F8" s="33">
        <f>'Revenue Build'!E28*(1-Assumptions!$B$39)*Assumptions!$B$37</f>
        <v/>
      </c>
      <c r="G8" s="39">
        <f>IFERROR(F8/F6,0)</f>
        <v/>
      </c>
      <c r="H8" s="33">
        <f>'Revenue Build'!F28*(1-Assumptions!$B$39)*Assumptions!$B$37</f>
        <v/>
      </c>
      <c r="I8" s="39">
        <f>IFERROR(H8/H6,0)</f>
        <v/>
      </c>
      <c r="J8" s="33">
        <f>'Revenue Build'!G28*(1-Assumptions!$B$39)*Assumptions!$B$37</f>
        <v/>
      </c>
      <c r="K8" s="39">
        <f>IFERROR(J8/J6,0)</f>
        <v/>
      </c>
    </row>
    <row r="9">
      <c r="A9" s="18" t="inlineStr">
        <is>
          <t xml:space="preserve">  Beverage COGS</t>
        </is>
      </c>
      <c r="B9" s="33">
        <f>'Revenue Build'!C28*Assumptions!$B$39*Assumptions!$B$38</f>
        <v/>
      </c>
      <c r="C9" s="39">
        <f>IFERROR(B9/B6,0)</f>
        <v/>
      </c>
      <c r="D9" s="33">
        <f>'Revenue Build'!D28*Assumptions!$B$39*Assumptions!$B$38</f>
        <v/>
      </c>
      <c r="E9" s="39">
        <f>IFERROR(D9/D6,0)</f>
        <v/>
      </c>
      <c r="F9" s="33">
        <f>'Revenue Build'!E28*Assumptions!$B$39*Assumptions!$B$38</f>
        <v/>
      </c>
      <c r="G9" s="39">
        <f>IFERROR(F9/F6,0)</f>
        <v/>
      </c>
      <c r="H9" s="33">
        <f>'Revenue Build'!F28*Assumptions!$B$39*Assumptions!$B$38</f>
        <v/>
      </c>
      <c r="I9" s="39">
        <f>IFERROR(H9/H6,0)</f>
        <v/>
      </c>
      <c r="J9" s="33">
        <f>'Revenue Build'!G28*Assumptions!$B$39*Assumptions!$B$38</f>
        <v/>
      </c>
      <c r="K9" s="39">
        <f>IFERROR(J9/J6,0)</f>
        <v/>
      </c>
    </row>
    <row r="10">
      <c r="A10" s="40" t="inlineStr">
        <is>
          <t xml:space="preserve">  Aggregator commission (memo — netted in rev)</t>
        </is>
      </c>
      <c r="B10" s="33">
        <f>'Revenue Build'!C24*Assumptions!$B$40</f>
        <v/>
      </c>
      <c r="C10" s="39">
        <f>IFERROR(B10/B6,0)</f>
        <v/>
      </c>
      <c r="D10" s="33">
        <f>'Revenue Build'!D24*Assumptions!$B$40</f>
        <v/>
      </c>
      <c r="E10" s="39">
        <f>IFERROR(D10/D6,0)</f>
        <v/>
      </c>
      <c r="F10" s="33">
        <f>'Revenue Build'!E24*Assumptions!$B$40</f>
        <v/>
      </c>
      <c r="G10" s="39">
        <f>IFERROR(F10/F6,0)</f>
        <v/>
      </c>
      <c r="H10" s="33">
        <f>'Revenue Build'!F24*Assumptions!$B$40</f>
        <v/>
      </c>
      <c r="I10" s="39">
        <f>IFERROR(H10/H6,0)</f>
        <v/>
      </c>
      <c r="J10" s="33">
        <f>'Revenue Build'!G24*Assumptions!$B$40</f>
        <v/>
      </c>
      <c r="K10" s="39">
        <f>IFERROR(J10/J6,0)</f>
        <v/>
      </c>
    </row>
    <row r="11">
      <c r="A11" s="41" t="inlineStr">
        <is>
          <t>Total COGS</t>
        </is>
      </c>
      <c r="B11" s="7">
        <f>B8+B9</f>
        <v/>
      </c>
      <c r="C11" s="37">
        <f>IFERROR(B11/B6,0)</f>
        <v/>
      </c>
      <c r="D11" s="7">
        <f>D8+D9</f>
        <v/>
      </c>
      <c r="E11" s="37">
        <f>IFERROR(D11/D6,0)</f>
        <v/>
      </c>
      <c r="F11" s="7">
        <f>F8+F9</f>
        <v/>
      </c>
      <c r="G11" s="37">
        <f>IFERROR(F11/F6,0)</f>
        <v/>
      </c>
      <c r="H11" s="7">
        <f>H8+H9</f>
        <v/>
      </c>
      <c r="I11" s="37">
        <f>IFERROR(H11/H6,0)</f>
        <v/>
      </c>
      <c r="J11" s="7">
        <f>J8+J9</f>
        <v/>
      </c>
      <c r="K11" s="37">
        <f>IFERROR(J11/J6,0)</f>
        <v/>
      </c>
    </row>
    <row r="13">
      <c r="A13" s="29" t="inlineStr">
        <is>
          <t>OPERATING EXPENSES</t>
        </is>
      </c>
    </row>
    <row r="14">
      <c r="A14" s="18" t="inlineStr">
        <is>
          <t xml:space="preserve">  Rent</t>
        </is>
      </c>
      <c r="B14" s="33">
        <f>Assumptions!$B$41*12*(1+Assumptions!$B$42)^0</f>
        <v/>
      </c>
      <c r="C14" s="39">
        <f>IFERROR(B14/B6,0)</f>
        <v/>
      </c>
      <c r="D14" s="33">
        <f>Assumptions!$B$41*12*(1+Assumptions!$B$42)^1</f>
        <v/>
      </c>
      <c r="E14" s="39">
        <f>IFERROR(D14/D6,0)</f>
        <v/>
      </c>
      <c r="F14" s="33">
        <f>Assumptions!$B$41*12*(1+Assumptions!$B$42)^2</f>
        <v/>
      </c>
      <c r="G14" s="39">
        <f>IFERROR(F14/F6,0)</f>
        <v/>
      </c>
      <c r="H14" s="33">
        <f>Assumptions!$B$41*12*(1+Assumptions!$B$42)^3</f>
        <v/>
      </c>
      <c r="I14" s="39">
        <f>IFERROR(H14/H6,0)</f>
        <v/>
      </c>
      <c r="J14" s="33">
        <f>Assumptions!$B$41*12*(1+Assumptions!$B$42)^4</f>
        <v/>
      </c>
      <c r="K14" s="39">
        <f>IFERROR(J14/J6,0)</f>
        <v/>
      </c>
    </row>
    <row r="15">
      <c r="A15" s="18" t="inlineStr">
        <is>
          <t xml:space="preserve">  Utilities &amp; oven fuel</t>
        </is>
      </c>
      <c r="B15" s="33">
        <f>(Assumptions!$B$43+Assumptions!$B$44)*12</f>
        <v/>
      </c>
      <c r="C15" s="39">
        <f>IFERROR(B15/B6,0)</f>
        <v/>
      </c>
      <c r="D15" s="33">
        <f>(Assumptions!$B$43+Assumptions!$B$44)*12</f>
        <v/>
      </c>
      <c r="E15" s="39">
        <f>IFERROR(D15/D6,0)</f>
        <v/>
      </c>
      <c r="F15" s="33">
        <f>(Assumptions!$B$43+Assumptions!$B$44)*12</f>
        <v/>
      </c>
      <c r="G15" s="39">
        <f>IFERROR(F15/F6,0)</f>
        <v/>
      </c>
      <c r="H15" s="33">
        <f>(Assumptions!$B$43+Assumptions!$B$44)*12</f>
        <v/>
      </c>
      <c r="I15" s="39">
        <f>IFERROR(H15/H6,0)</f>
        <v/>
      </c>
      <c r="J15" s="33">
        <f>(Assumptions!$B$43+Assumptions!$B$44)*12</f>
        <v/>
      </c>
      <c r="K15" s="39">
        <f>IFERROR(J15/J6,0)</f>
        <v/>
      </c>
    </row>
    <row r="16">
      <c r="A16" s="18" t="inlineStr">
        <is>
          <t xml:space="preserve">  Labour (incl. 19% social)</t>
        </is>
      </c>
      <c r="B16" s="33">
        <f>(Assumptions!$B$45+2*Assumptions!$B$46+2*Assumptions!$B$47+Assumptions!$B$48)*12*(1+Assumptions!$B$49)</f>
        <v/>
      </c>
      <c r="C16" s="39">
        <f>IFERROR(B16/B6,0)</f>
        <v/>
      </c>
      <c r="D16" s="33">
        <f>(Assumptions!$B$45+2*Assumptions!$B$46+2*Assumptions!$B$47+Assumptions!$B$48)*12*(1+Assumptions!$B$49)</f>
        <v/>
      </c>
      <c r="E16" s="39">
        <f>IFERROR(D16/D6,0)</f>
        <v/>
      </c>
      <c r="F16" s="33">
        <f>(Assumptions!$B$45+2*Assumptions!$B$46+2*Assumptions!$B$47+Assumptions!$B$48)*12*(1+Assumptions!$B$49)</f>
        <v/>
      </c>
      <c r="G16" s="39">
        <f>IFERROR(F16/F6,0)</f>
        <v/>
      </c>
      <c r="H16" s="33">
        <f>(Assumptions!$B$45+2*Assumptions!$B$46+2*Assumptions!$B$47+Assumptions!$B$48)*12*(1+Assumptions!$B$49)</f>
        <v/>
      </c>
      <c r="I16" s="39">
        <f>IFERROR(H16/H6,0)</f>
        <v/>
      </c>
      <c r="J16" s="33">
        <f>(Assumptions!$B$45+2*Assumptions!$B$46+2*Assumptions!$B$47+Assumptions!$B$48)*12*(1+Assumptions!$B$49)</f>
        <v/>
      </c>
      <c r="K16" s="39">
        <f>IFERROR(J16/J6,0)</f>
        <v/>
      </c>
    </row>
    <row r="17">
      <c r="A17" s="18" t="inlineStr">
        <is>
          <t xml:space="preserve">  Marketing</t>
        </is>
      </c>
      <c r="B17" s="33">
        <f>'Revenue Build'!C28*Assumptions!$B$50</f>
        <v/>
      </c>
      <c r="C17" s="39">
        <f>IFERROR(B17/B6,0)</f>
        <v/>
      </c>
      <c r="D17" s="33">
        <f>'Revenue Build'!D28*Assumptions!$B$51</f>
        <v/>
      </c>
      <c r="E17" s="39">
        <f>IFERROR(D17/D6,0)</f>
        <v/>
      </c>
      <c r="F17" s="33">
        <f>'Revenue Build'!E28*Assumptions!$B$51</f>
        <v/>
      </c>
      <c r="G17" s="39">
        <f>IFERROR(F17/F6,0)</f>
        <v/>
      </c>
      <c r="H17" s="33">
        <f>'Revenue Build'!F28*Assumptions!$B$51</f>
        <v/>
      </c>
      <c r="I17" s="39">
        <f>IFERROR(H17/H6,0)</f>
        <v/>
      </c>
      <c r="J17" s="33">
        <f>'Revenue Build'!G28*Assumptions!$B$51</f>
        <v/>
      </c>
      <c r="K17" s="39">
        <f>IFERROR(J17/J6,0)</f>
        <v/>
      </c>
    </row>
    <row r="18">
      <c r="A18" s="18" t="inlineStr">
        <is>
          <t xml:space="preserve">  Repairs &amp; maintenance</t>
        </is>
      </c>
      <c r="B18" s="33">
        <f>'Revenue Build'!C28*Assumptions!$B$52</f>
        <v/>
      </c>
      <c r="C18" s="39">
        <f>IFERROR(B18/B6,0)</f>
        <v/>
      </c>
      <c r="D18" s="33">
        <f>'Revenue Build'!D28*Assumptions!$B$52</f>
        <v/>
      </c>
      <c r="E18" s="39">
        <f>IFERROR(D18/D6,0)</f>
        <v/>
      </c>
      <c r="F18" s="33">
        <f>'Revenue Build'!E28*Assumptions!$B$52</f>
        <v/>
      </c>
      <c r="G18" s="39">
        <f>IFERROR(F18/F6,0)</f>
        <v/>
      </c>
      <c r="H18" s="33">
        <f>'Revenue Build'!F28*Assumptions!$B$52</f>
        <v/>
      </c>
      <c r="I18" s="39">
        <f>IFERROR(H18/H6,0)</f>
        <v/>
      </c>
      <c r="J18" s="33">
        <f>'Revenue Build'!G28*Assumptions!$B$52</f>
        <v/>
      </c>
      <c r="K18" s="39">
        <f>IFERROR(J18/J6,0)</f>
        <v/>
      </c>
    </row>
    <row r="19">
      <c r="A19" s="18" t="inlineStr">
        <is>
          <t xml:space="preserve">  Packaging &amp; delivery supplies</t>
        </is>
      </c>
      <c r="B19" s="33">
        <f>'Revenue Build'!C28*Assumptions!$B$53</f>
        <v/>
      </c>
      <c r="C19" s="39">
        <f>IFERROR(B19/B6,0)</f>
        <v/>
      </c>
      <c r="D19" s="33">
        <f>'Revenue Build'!D28*Assumptions!$B$53</f>
        <v/>
      </c>
      <c r="E19" s="39">
        <f>IFERROR(D19/D6,0)</f>
        <v/>
      </c>
      <c r="F19" s="33">
        <f>'Revenue Build'!E28*Assumptions!$B$53</f>
        <v/>
      </c>
      <c r="G19" s="39">
        <f>IFERROR(F19/F6,0)</f>
        <v/>
      </c>
      <c r="H19" s="33">
        <f>'Revenue Build'!F28*Assumptions!$B$53</f>
        <v/>
      </c>
      <c r="I19" s="39">
        <f>IFERROR(H19/H6,0)</f>
        <v/>
      </c>
      <c r="J19" s="33">
        <f>'Revenue Build'!G28*Assumptions!$B$53</f>
        <v/>
      </c>
      <c r="K19" s="39">
        <f>IFERROR(J19/J6,0)</f>
        <v/>
      </c>
    </row>
    <row r="20">
      <c r="A20" s="18" t="inlineStr">
        <is>
          <t xml:space="preserve">  Insurance &amp; licenses</t>
        </is>
      </c>
      <c r="B20" s="33">
        <f>Assumptions!$B$54</f>
        <v/>
      </c>
      <c r="C20" s="39">
        <f>IFERROR(B20/B6,0)</f>
        <v/>
      </c>
      <c r="D20" s="33">
        <f>Assumptions!$B$54</f>
        <v/>
      </c>
      <c r="E20" s="39">
        <f>IFERROR(D20/D6,0)</f>
        <v/>
      </c>
      <c r="F20" s="33">
        <f>Assumptions!$B$54</f>
        <v/>
      </c>
      <c r="G20" s="39">
        <f>IFERROR(F20/F6,0)</f>
        <v/>
      </c>
      <c r="H20" s="33">
        <f>Assumptions!$B$54</f>
        <v/>
      </c>
      <c r="I20" s="39">
        <f>IFERROR(H20/H6,0)</f>
        <v/>
      </c>
      <c r="J20" s="33">
        <f>Assumptions!$B$54</f>
        <v/>
      </c>
      <c r="K20" s="39">
        <f>IFERROR(J20/J6,0)</f>
        <v/>
      </c>
    </row>
    <row r="21">
      <c r="A21" s="18" t="inlineStr">
        <is>
          <t xml:space="preserve">  POS / SaaS</t>
        </is>
      </c>
      <c r="B21" s="33">
        <f>Assumptions!$B$55*12</f>
        <v/>
      </c>
      <c r="C21" s="39">
        <f>IFERROR(B21/B6,0)</f>
        <v/>
      </c>
      <c r="D21" s="33">
        <f>Assumptions!$B$55*12</f>
        <v/>
      </c>
      <c r="E21" s="39">
        <f>IFERROR(D21/D6,0)</f>
        <v/>
      </c>
      <c r="F21" s="33">
        <f>Assumptions!$B$55*12</f>
        <v/>
      </c>
      <c r="G21" s="39">
        <f>IFERROR(F21/F6,0)</f>
        <v/>
      </c>
      <c r="H21" s="33">
        <f>Assumptions!$B$55*12</f>
        <v/>
      </c>
      <c r="I21" s="39">
        <f>IFERROR(H21/H6,0)</f>
        <v/>
      </c>
      <c r="J21" s="33">
        <f>Assumptions!$B$55*12</f>
        <v/>
      </c>
      <c r="K21" s="39">
        <f>IFERROR(J21/J6,0)</f>
        <v/>
      </c>
    </row>
    <row r="22">
      <c r="A22" s="18" t="inlineStr">
        <is>
          <t xml:space="preserve">  Accounting</t>
        </is>
      </c>
      <c r="B22" s="33">
        <f>Assumptions!$B$56*12</f>
        <v/>
      </c>
      <c r="C22" s="39">
        <f>IFERROR(B22/B6,0)</f>
        <v/>
      </c>
      <c r="D22" s="33">
        <f>Assumptions!$B$56*12</f>
        <v/>
      </c>
      <c r="E22" s="39">
        <f>IFERROR(D22/D6,0)</f>
        <v/>
      </c>
      <c r="F22" s="33">
        <f>Assumptions!$B$56*12</f>
        <v/>
      </c>
      <c r="G22" s="39">
        <f>IFERROR(F22/F6,0)</f>
        <v/>
      </c>
      <c r="H22" s="33">
        <f>Assumptions!$B$56*12</f>
        <v/>
      </c>
      <c r="I22" s="39">
        <f>IFERROR(H22/H6,0)</f>
        <v/>
      </c>
      <c r="J22" s="33">
        <f>Assumptions!$B$56*12</f>
        <v/>
      </c>
      <c r="K22" s="39">
        <f>IFERROR(J22/J6,0)</f>
        <v/>
      </c>
    </row>
    <row r="23">
      <c r="A23" s="18" t="inlineStr">
        <is>
          <t xml:space="preserve">  Misc</t>
        </is>
      </c>
      <c r="B23" s="33">
        <f>'Revenue Build'!C28*Assumptions!$B$57</f>
        <v/>
      </c>
      <c r="C23" s="39">
        <f>IFERROR(B23/B6,0)</f>
        <v/>
      </c>
      <c r="D23" s="33">
        <f>'Revenue Build'!D28*Assumptions!$B$57</f>
        <v/>
      </c>
      <c r="E23" s="39">
        <f>IFERROR(D23/D6,0)</f>
        <v/>
      </c>
      <c r="F23" s="33">
        <f>'Revenue Build'!E28*Assumptions!$B$57</f>
        <v/>
      </c>
      <c r="G23" s="39">
        <f>IFERROR(F23/F6,0)</f>
        <v/>
      </c>
      <c r="H23" s="33">
        <f>'Revenue Build'!F28*Assumptions!$B$57</f>
        <v/>
      </c>
      <c r="I23" s="39">
        <f>IFERROR(H23/H6,0)</f>
        <v/>
      </c>
      <c r="J23" s="33">
        <f>'Revenue Build'!G28*Assumptions!$B$57</f>
        <v/>
      </c>
      <c r="K23" s="39">
        <f>IFERROR(J23/J6,0)</f>
        <v/>
      </c>
    </row>
    <row r="24">
      <c r="A24" s="41" t="inlineStr">
        <is>
          <t>Total OPEX</t>
        </is>
      </c>
      <c r="B24" s="7">
        <f>B14+B15+B16+B17+B18+B19+B20+B21+B22+B23</f>
        <v/>
      </c>
      <c r="C24" s="37">
        <f>IFERROR(B24/B6,0)</f>
        <v/>
      </c>
      <c r="D24" s="7">
        <f>D14+D15+D16+D17+D18+D19+D20+D21+D22+D23</f>
        <v/>
      </c>
      <c r="E24" s="37">
        <f>IFERROR(D24/D6,0)</f>
        <v/>
      </c>
      <c r="F24" s="7">
        <f>F14+F15+F16+F17+F18+F19+F20+F21+F22+F23</f>
        <v/>
      </c>
      <c r="G24" s="37">
        <f>IFERROR(F24/F6,0)</f>
        <v/>
      </c>
      <c r="H24" s="7">
        <f>H14+H15+H16+H17+H18+H19+H20+H21+H22+H23</f>
        <v/>
      </c>
      <c r="I24" s="37">
        <f>IFERROR(H24/H6,0)</f>
        <v/>
      </c>
      <c r="J24" s="7">
        <f>J14+J15+J16+J17+J18+J19+J20+J21+J22+J23</f>
        <v/>
      </c>
      <c r="K24" s="37">
        <f>IFERROR(J24/J6,0)</f>
        <v/>
      </c>
    </row>
    <row r="26">
      <c r="A26" s="41" t="inlineStr">
        <is>
          <t>TOTAL OPERATING COSTS (COGS + OPEX)</t>
        </is>
      </c>
      <c r="B26" s="7">
        <f>B11+B24</f>
        <v/>
      </c>
      <c r="C26" s="37">
        <f>IFERROR(B26/B6,0)</f>
        <v/>
      </c>
      <c r="D26" s="7">
        <f>D11+D24</f>
        <v/>
      </c>
      <c r="E26" s="37">
        <f>IFERROR(D26/D6,0)</f>
        <v/>
      </c>
      <c r="F26" s="7">
        <f>F11+F24</f>
        <v/>
      </c>
      <c r="G26" s="37">
        <f>IFERROR(F26/F6,0)</f>
        <v/>
      </c>
      <c r="H26" s="7">
        <f>H11+H24</f>
        <v/>
      </c>
      <c r="I26" s="37">
        <f>IFERROR(H26/H6,0)</f>
        <v/>
      </c>
      <c r="J26" s="7">
        <f>J11+J24</f>
        <v/>
      </c>
      <c r="K26" s="37">
        <f>IFERROR(J26/J6,0)</f>
        <v/>
      </c>
    </row>
  </sheetData>
  <mergeCells count="7">
    <mergeCell ref="F4:G4"/>
    <mergeCell ref="J4:K4"/>
    <mergeCell ref="A1:L1"/>
    <mergeCell ref="D4:E4"/>
    <mergeCell ref="H4:I4"/>
    <mergeCell ref="A3:L3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SALVATORE PIZZA  —  PROFIT &amp; LOSS</t>
        </is>
      </c>
    </row>
    <row r="3">
      <c r="A3" s="15" t="inlineStr">
        <is>
          <t>Bulgaria CIT 10%. D&amp;A = Opening CAPEX / 7 years straight-line.</t>
        </is>
      </c>
    </row>
    <row r="4">
      <c r="A4" s="17" t="inlineStr">
        <is>
          <t>P&amp;L Line</t>
        </is>
      </c>
      <c r="B4" s="17" t="inlineStr">
        <is>
          <t>% margin</t>
        </is>
      </c>
      <c r="C4" s="17" t="inlineStr">
        <is>
          <t>Y1 2026</t>
        </is>
      </c>
      <c r="D4" s="17" t="inlineStr">
        <is>
          <t>Y2 2027</t>
        </is>
      </c>
      <c r="E4" s="17" t="inlineStr">
        <is>
          <t>Y3 2028</t>
        </is>
      </c>
      <c r="F4" s="17" t="inlineStr">
        <is>
          <t>Y4 2029</t>
        </is>
      </c>
      <c r="G4" s="17" t="inlineStr">
        <is>
          <t>Y5 2030</t>
        </is>
      </c>
    </row>
    <row r="5">
      <c r="A5" s="4" t="inlineStr">
        <is>
          <t>Revenue</t>
        </is>
      </c>
      <c r="B5" s="30" t="inlineStr"/>
      <c r="C5" s="7">
        <f>'Revenue Build'!C28</f>
        <v/>
      </c>
      <c r="D5" s="7">
        <f>'Revenue Build'!D28</f>
        <v/>
      </c>
      <c r="E5" s="7">
        <f>'Revenue Build'!E28</f>
        <v/>
      </c>
      <c r="F5" s="7">
        <f>'Revenue Build'!F28</f>
        <v/>
      </c>
      <c r="G5" s="7">
        <f>'Revenue Build'!G28</f>
        <v/>
      </c>
    </row>
    <row r="6">
      <c r="A6" t="inlineStr">
        <is>
          <t>(–) COGS</t>
        </is>
      </c>
      <c r="C6" s="33">
        <f>-'Cost Forecast'!B11</f>
        <v/>
      </c>
      <c r="D6" s="33">
        <f>-'Cost Forecast'!D11</f>
        <v/>
      </c>
      <c r="E6" s="33">
        <f>-'Cost Forecast'!F11</f>
        <v/>
      </c>
      <c r="F6" s="33">
        <f>-'Cost Forecast'!H11</f>
        <v/>
      </c>
      <c r="G6" s="33">
        <f>-'Cost Forecast'!J11</f>
        <v/>
      </c>
    </row>
    <row r="7">
      <c r="A7" s="4" t="inlineStr">
        <is>
          <t>Gross Profit</t>
        </is>
      </c>
      <c r="C7" s="7">
        <f>C5+C6</f>
        <v/>
      </c>
      <c r="D7" s="7">
        <f>D5+D6</f>
        <v/>
      </c>
      <c r="E7" s="7">
        <f>E5+E6</f>
        <v/>
      </c>
      <c r="F7" s="7">
        <f>F5+F6</f>
        <v/>
      </c>
      <c r="G7" s="7">
        <f>G5+G6</f>
        <v/>
      </c>
    </row>
    <row r="8">
      <c r="A8" t="inlineStr">
        <is>
          <t>(–) Operating Expenses</t>
        </is>
      </c>
      <c r="C8" s="33">
        <f>-'Cost Forecast'!B24</f>
        <v/>
      </c>
      <c r="D8" s="33">
        <f>-'Cost Forecast'!D24</f>
        <v/>
      </c>
      <c r="E8" s="33">
        <f>-'Cost Forecast'!F24</f>
        <v/>
      </c>
      <c r="F8" s="33">
        <f>-'Cost Forecast'!H24</f>
        <v/>
      </c>
      <c r="G8" s="33">
        <f>-'Cost Forecast'!J24</f>
        <v/>
      </c>
    </row>
    <row r="9">
      <c r="A9" s="29" t="inlineStr">
        <is>
          <t>EBITDA</t>
        </is>
      </c>
      <c r="C9" s="7">
        <f>C7+C8</f>
        <v/>
      </c>
      <c r="D9" s="7">
        <f>D7+D8</f>
        <v/>
      </c>
      <c r="E9" s="7">
        <f>E7+E8</f>
        <v/>
      </c>
      <c r="F9" s="7">
        <f>F7+F8</f>
        <v/>
      </c>
      <c r="G9" s="7">
        <f>G7+G8</f>
        <v/>
      </c>
    </row>
    <row r="10">
      <c r="A10" t="inlineStr">
        <is>
          <t>(–) D&amp;A</t>
        </is>
      </c>
      <c r="C10" s="33">
        <f>-Assumptions!$B$70/Assumptions!$B$72</f>
        <v/>
      </c>
      <c r="D10" s="33">
        <f>-Assumptions!$B$70/Assumptions!$B$72</f>
        <v/>
      </c>
      <c r="E10" s="33">
        <f>-Assumptions!$B$70/Assumptions!$B$72</f>
        <v/>
      </c>
      <c r="F10" s="33">
        <f>-Assumptions!$B$70/Assumptions!$B$72</f>
        <v/>
      </c>
      <c r="G10" s="33">
        <f>-Assumptions!$B$70/Assumptions!$B$72</f>
        <v/>
      </c>
    </row>
    <row r="11">
      <c r="A11" s="4" t="inlineStr">
        <is>
          <t>EBIT</t>
        </is>
      </c>
      <c r="C11" s="34">
        <f>C9+C10</f>
        <v/>
      </c>
      <c r="D11" s="34">
        <f>D9+D10</f>
        <v/>
      </c>
      <c r="E11" s="34">
        <f>E9+E10</f>
        <v/>
      </c>
      <c r="F11" s="34">
        <f>F9+F10</f>
        <v/>
      </c>
      <c r="G11" s="34">
        <f>G9+G10</f>
        <v/>
      </c>
    </row>
    <row r="12">
      <c r="A12" t="inlineStr">
        <is>
          <t>(–) Interest</t>
        </is>
      </c>
      <c r="C12" s="33">
        <f>-Assumptions!$B$80</f>
        <v/>
      </c>
      <c r="D12" s="33">
        <f>-Assumptions!$B$80</f>
        <v/>
      </c>
      <c r="E12" s="33">
        <f>-Assumptions!$B$80</f>
        <v/>
      </c>
      <c r="F12" s="33">
        <f>-Assumptions!$B$80</f>
        <v/>
      </c>
      <c r="G12" s="33">
        <f>-Assumptions!$B$80</f>
        <v/>
      </c>
    </row>
    <row r="13">
      <c r="A13" s="4" t="inlineStr">
        <is>
          <t>Profit Before Tax</t>
        </is>
      </c>
      <c r="C13" s="34">
        <f>C11+C12</f>
        <v/>
      </c>
      <c r="D13" s="34">
        <f>D11+D12</f>
        <v/>
      </c>
      <c r="E13" s="34">
        <f>E11+E12</f>
        <v/>
      </c>
      <c r="F13" s="34">
        <f>F11+F12</f>
        <v/>
      </c>
      <c r="G13" s="34">
        <f>G11+G12</f>
        <v/>
      </c>
    </row>
    <row r="14">
      <c r="A14" t="inlineStr">
        <is>
          <t>(–) Corporate Tax (10%)</t>
        </is>
      </c>
      <c r="C14" s="33">
        <f>-MAX(0,C13)*Assumptions!$B$87</f>
        <v/>
      </c>
      <c r="D14" s="33">
        <f>-MAX(0,D13)*Assumptions!$B$87</f>
        <v/>
      </c>
      <c r="E14" s="33">
        <f>-MAX(0,E13)*Assumptions!$B$87</f>
        <v/>
      </c>
      <c r="F14" s="33">
        <f>-MAX(0,F13)*Assumptions!$B$87</f>
        <v/>
      </c>
      <c r="G14" s="33">
        <f>-MAX(0,G13)*Assumptions!$B$87</f>
        <v/>
      </c>
    </row>
    <row r="15">
      <c r="A15" s="29" t="inlineStr">
        <is>
          <t>Net Income</t>
        </is>
      </c>
      <c r="C15" s="7">
        <f>C13+C14</f>
        <v/>
      </c>
      <c r="D15" s="7">
        <f>D13+D14</f>
        <v/>
      </c>
      <c r="E15" s="7">
        <f>E13+E14</f>
        <v/>
      </c>
      <c r="F15" s="7">
        <f>F13+F14</f>
        <v/>
      </c>
      <c r="G15" s="7">
        <f>G13+G14</f>
        <v/>
      </c>
    </row>
    <row r="18">
      <c r="A18" s="42" t="inlineStr">
        <is>
          <t>MARGIN ANALYSIS</t>
        </is>
      </c>
    </row>
    <row r="19">
      <c r="A19" s="17" t="inlineStr">
        <is>
          <t>Metric</t>
        </is>
      </c>
      <c r="C19" s="17" t="inlineStr">
        <is>
          <t>Y1 2026</t>
        </is>
      </c>
      <c r="D19" s="17" t="inlineStr">
        <is>
          <t>Y2 2027</t>
        </is>
      </c>
      <c r="E19" s="17" t="inlineStr">
        <is>
          <t>Y3 2028</t>
        </is>
      </c>
      <c r="F19" s="17" t="inlineStr">
        <is>
          <t>Y4 2029</t>
        </is>
      </c>
      <c r="G19" s="17" t="inlineStr">
        <is>
          <t>Y5 2030</t>
        </is>
      </c>
    </row>
    <row r="20">
      <c r="A20" t="inlineStr">
        <is>
          <t>Gross margin</t>
        </is>
      </c>
      <c r="C20" s="39">
        <f>C7/C5</f>
        <v/>
      </c>
      <c r="D20" s="39">
        <f>D7/D5</f>
        <v/>
      </c>
      <c r="E20" s="39">
        <f>E7/E5</f>
        <v/>
      </c>
      <c r="F20" s="39">
        <f>F7/F5</f>
        <v/>
      </c>
      <c r="G20" s="39">
        <f>G7/G5</f>
        <v/>
      </c>
    </row>
    <row r="21">
      <c r="A21" t="inlineStr">
        <is>
          <t>OPEX % of revenue</t>
        </is>
      </c>
      <c r="C21" s="39">
        <f>-C8/C5</f>
        <v/>
      </c>
      <c r="D21" s="39">
        <f>-D8/D5</f>
        <v/>
      </c>
      <c r="E21" s="39">
        <f>-E8/E5</f>
        <v/>
      </c>
      <c r="F21" s="39">
        <f>-F8/F5</f>
        <v/>
      </c>
      <c r="G21" s="39">
        <f>-G8/G5</f>
        <v/>
      </c>
    </row>
    <row r="22">
      <c r="A22" s="4" t="inlineStr">
        <is>
          <t>EBITDA margin</t>
        </is>
      </c>
      <c r="C22" s="10">
        <f>C9/C5</f>
        <v/>
      </c>
      <c r="D22" s="10">
        <f>D9/D5</f>
        <v/>
      </c>
      <c r="E22" s="10">
        <f>E9/E5</f>
        <v/>
      </c>
      <c r="F22" s="10">
        <f>F9/F5</f>
        <v/>
      </c>
      <c r="G22" s="10">
        <f>G9/G5</f>
        <v/>
      </c>
    </row>
    <row r="23">
      <c r="A23" t="inlineStr">
        <is>
          <t>Net margin</t>
        </is>
      </c>
      <c r="C23" s="37">
        <f>C15/C5</f>
        <v/>
      </c>
      <c r="D23" s="37">
        <f>D15/D5</f>
        <v/>
      </c>
      <c r="E23" s="37">
        <f>E15/E5</f>
        <v/>
      </c>
      <c r="F23" s="37">
        <f>F15/F5</f>
        <v/>
      </c>
      <c r="G23" s="37">
        <f>G15/G5</f>
        <v/>
      </c>
    </row>
  </sheetData>
  <mergeCells count="3">
    <mergeCell ref="A18:H18"/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SALVATORE PIZZA  —  CASH FLOW &amp; INVESTMENT ANALYSIS</t>
        </is>
      </c>
    </row>
    <row r="3">
      <c r="A3" s="15" t="inlineStr">
        <is>
          <t>Y0 opening CAPEX + WC; FCF = EBITDA - Tax - Maintenance CAPEX. Terminal value = Y5 EBITDA × 4.5x.</t>
        </is>
      </c>
    </row>
    <row r="4">
      <c r="A4" s="17" t="inlineStr">
        <is>
          <t>Line</t>
        </is>
      </c>
      <c r="B4" s="17" t="inlineStr">
        <is>
          <t>Y0 2025</t>
        </is>
      </c>
      <c r="C4" s="17" t="inlineStr">
        <is>
          <t>Y1 2026</t>
        </is>
      </c>
      <c r="D4" s="17" t="inlineStr">
        <is>
          <t>Y2 2027</t>
        </is>
      </c>
      <c r="E4" s="17" t="inlineStr">
        <is>
          <t>Y3 2028</t>
        </is>
      </c>
      <c r="F4" s="17" t="inlineStr">
        <is>
          <t>Y4 2029</t>
        </is>
      </c>
      <c r="G4" s="17" t="inlineStr">
        <is>
          <t>Y5 2030</t>
        </is>
      </c>
      <c r="H4" s="17" t="inlineStr">
        <is>
          <t>Terminal</t>
        </is>
      </c>
    </row>
    <row r="5">
      <c r="A5" t="inlineStr">
        <is>
          <t>(–) Opening CAPEX</t>
        </is>
      </c>
      <c r="B5" s="33">
        <f>-Assumptions!$B$70</f>
        <v/>
      </c>
      <c r="C5" s="43" t="n">
        <v>0</v>
      </c>
      <c r="D5" s="43" t="n">
        <v>0</v>
      </c>
      <c r="E5" s="43" t="n">
        <v>0</v>
      </c>
      <c r="F5" s="43" t="n">
        <v>0</v>
      </c>
      <c r="G5" s="43" t="n">
        <v>0</v>
      </c>
      <c r="H5" s="43" t="n">
        <v>0</v>
      </c>
    </row>
    <row r="6">
      <c r="A6" t="inlineStr">
        <is>
          <t>(–/+) Working capital</t>
        </is>
      </c>
      <c r="B6" s="43">
        <f>-Assumptions!$B$76</f>
        <v/>
      </c>
      <c r="C6" s="43" t="n">
        <v>0</v>
      </c>
      <c r="D6" s="43" t="n">
        <v>0</v>
      </c>
      <c r="E6" s="43" t="n">
        <v>0</v>
      </c>
      <c r="F6" s="43" t="n">
        <v>0</v>
      </c>
      <c r="G6" s="43" t="n">
        <v>0</v>
      </c>
      <c r="H6" s="43">
        <f>Assumptions!$B$76</f>
        <v/>
      </c>
    </row>
    <row r="7">
      <c r="A7" t="inlineStr">
        <is>
          <t>EBITDA</t>
        </is>
      </c>
      <c r="B7" s="43" t="n">
        <v>0</v>
      </c>
      <c r="C7" s="33">
        <f>'P&amp;L'!C9</f>
        <v/>
      </c>
      <c r="D7" s="33">
        <f>'P&amp;L'!D9</f>
        <v/>
      </c>
      <c r="E7" s="33">
        <f>'P&amp;L'!E9</f>
        <v/>
      </c>
      <c r="F7" s="33">
        <f>'P&amp;L'!F9</f>
        <v/>
      </c>
      <c r="G7" s="33">
        <f>'P&amp;L'!G9</f>
        <v/>
      </c>
      <c r="H7" s="43" t="n">
        <v>0</v>
      </c>
    </row>
    <row r="8">
      <c r="A8" t="inlineStr">
        <is>
          <t>(–) Cash Tax</t>
        </is>
      </c>
      <c r="B8" s="43" t="n">
        <v>0</v>
      </c>
      <c r="C8" s="33">
        <f>'P&amp;L'!C14</f>
        <v/>
      </c>
      <c r="D8" s="33">
        <f>'P&amp;L'!D14</f>
        <v/>
      </c>
      <c r="E8" s="33">
        <f>'P&amp;L'!E14</f>
        <v/>
      </c>
      <c r="F8" s="33">
        <f>'P&amp;L'!F14</f>
        <v/>
      </c>
      <c r="G8" s="33">
        <f>'P&amp;L'!G14</f>
        <v/>
      </c>
      <c r="H8" s="43" t="n">
        <v>0</v>
      </c>
    </row>
    <row r="9">
      <c r="A9" t="inlineStr">
        <is>
          <t>(–) Maintenance CAPEX</t>
        </is>
      </c>
      <c r="B9" s="43" t="n">
        <v>0</v>
      </c>
      <c r="C9" s="33">
        <f>0</f>
        <v/>
      </c>
      <c r="D9" s="33">
        <f>-'Revenue Build'!D28*Assumptions!$B$71</f>
        <v/>
      </c>
      <c r="E9" s="33">
        <f>-'Revenue Build'!E28*Assumptions!$B$71</f>
        <v/>
      </c>
      <c r="F9" s="33">
        <f>-'Revenue Build'!F28*Assumptions!$B$71</f>
        <v/>
      </c>
      <c r="G9" s="33">
        <f>-'Revenue Build'!G28*Assumptions!$B$71</f>
        <v/>
      </c>
      <c r="H9" s="43" t="n">
        <v>0</v>
      </c>
    </row>
    <row r="10">
      <c r="A10" t="inlineStr">
        <is>
          <t>(+) Terminal Value (Y5 EBITDA × multiple)</t>
        </is>
      </c>
      <c r="B10" s="43" t="n">
        <v>0</v>
      </c>
      <c r="C10" s="43" t="n">
        <v>0</v>
      </c>
      <c r="D10" s="43" t="n">
        <v>0</v>
      </c>
      <c r="E10" s="43" t="n">
        <v>0</v>
      </c>
      <c r="F10" s="43" t="n">
        <v>0</v>
      </c>
      <c r="G10" s="43" t="n">
        <v>0</v>
      </c>
      <c r="H10" s="43">
        <f>'P&amp;L'!G9*Assumptions!$B$79</f>
        <v/>
      </c>
    </row>
    <row r="11">
      <c r="A11" s="29" t="inlineStr">
        <is>
          <t>Free Cash Flow</t>
        </is>
      </c>
      <c r="B11" s="7">
        <f>SUM(B5:B10)</f>
        <v/>
      </c>
      <c r="C11" s="7">
        <f>SUM(C5:C10)</f>
        <v/>
      </c>
      <c r="D11" s="7">
        <f>SUM(D5:D10)</f>
        <v/>
      </c>
      <c r="E11" s="7">
        <f>SUM(E5:E10)</f>
        <v/>
      </c>
      <c r="F11" s="7">
        <f>SUM(F5:F10)</f>
        <v/>
      </c>
      <c r="G11" s="7">
        <f>SUM(G5:G10)</f>
        <v/>
      </c>
      <c r="H11" s="7">
        <f>SUM(H5:H10)</f>
        <v/>
      </c>
    </row>
    <row r="12">
      <c r="A12" s="36" t="inlineStr">
        <is>
          <t>Cumulative FCF</t>
        </is>
      </c>
      <c r="B12" s="43">
        <f>B11</f>
        <v/>
      </c>
      <c r="C12" s="33">
        <f>B12+C11</f>
        <v/>
      </c>
      <c r="D12" s="33">
        <f>C12+D11</f>
        <v/>
      </c>
      <c r="E12" s="33">
        <f>D12+E11</f>
        <v/>
      </c>
      <c r="F12" s="33">
        <f>E12+F11</f>
        <v/>
      </c>
      <c r="G12" s="33">
        <f>F12+G11</f>
        <v/>
      </c>
      <c r="H12" s="33">
        <f>G12+H11</f>
        <v/>
      </c>
    </row>
    <row r="15">
      <c r="A15" s="44" t="inlineStr">
        <is>
          <t>INVESTMENT METRICS</t>
        </is>
      </c>
    </row>
    <row r="16">
      <c r="A16" t="inlineStr">
        <is>
          <t>Discount rate (WACC)</t>
        </is>
      </c>
      <c r="C16" s="10">
        <f>Assumptions!$B$78</f>
        <v/>
      </c>
    </row>
    <row r="17">
      <c r="A17" t="inlineStr">
        <is>
          <t>Exit EBITDA multiple</t>
        </is>
      </c>
      <c r="C17" s="12">
        <f>Assumptions!$B$79</f>
        <v/>
      </c>
    </row>
    <row r="18">
      <c r="A18" t="inlineStr">
        <is>
          <t>Total cash deployed (Y0)</t>
        </is>
      </c>
      <c r="C18" s="7">
        <f>-B11</f>
        <v/>
      </c>
    </row>
    <row r="20">
      <c r="A20" s="15" t="inlineStr">
        <is>
          <t>Cash flow vector for IRR/NPV (Y0..Y5)</t>
        </is>
      </c>
      <c r="C20" s="33">
        <f>B11</f>
        <v/>
      </c>
      <c r="D20" s="33">
        <f>C11</f>
        <v/>
      </c>
      <c r="E20" s="33">
        <f>D11</f>
        <v/>
      </c>
      <c r="F20" s="33">
        <f>E11</f>
        <v/>
      </c>
      <c r="G20" s="33">
        <f>F11</f>
        <v/>
      </c>
      <c r="H20" s="33">
        <f>G11+H11</f>
        <v/>
      </c>
    </row>
    <row r="22">
      <c r="A22" s="29" t="inlineStr">
        <is>
          <t>Investment Returns</t>
        </is>
      </c>
    </row>
    <row r="23">
      <c r="A23" t="inlineStr">
        <is>
          <t>Total terminal proceeds (Y5 FCF + Terminal)</t>
        </is>
      </c>
      <c r="C23" s="7">
        <f>H20</f>
        <v/>
      </c>
    </row>
    <row r="24">
      <c r="A24" s="4" t="inlineStr">
        <is>
          <t>NPV @ Discount rate (BGN)</t>
        </is>
      </c>
      <c r="C24" s="7">
        <f>NPV(Assumptions!$B$78,D20:H20)+C20</f>
        <v/>
      </c>
    </row>
    <row r="25">
      <c r="A25" s="4" t="inlineStr">
        <is>
          <t>IRR</t>
        </is>
      </c>
      <c r="C25" s="10">
        <f>IRR(C20:H20)</f>
        <v/>
      </c>
    </row>
    <row r="26">
      <c r="A26" s="4" t="inlineStr">
        <is>
          <t>MOIC (Multiple on Invested Capital)</t>
        </is>
      </c>
      <c r="C26" s="12">
        <f>SUM(D20:H20)/(-C20)</f>
        <v/>
      </c>
    </row>
    <row r="27">
      <c r="A27" s="4" t="inlineStr">
        <is>
          <t>Payback period (yrs)</t>
        </is>
      </c>
      <c r="C27" s="11">
        <f>IFERROR(IF(C12&gt;=0,1,IF(D12&gt;=0,1+(-C12)/D11,IF(E12&gt;=0,2+(-D12)/E11,IF(F12&gt;=0,3+(-E12)/F11,IF(G12&gt;=0,4+(-F12)/G11,99))))),99)</f>
        <v/>
      </c>
    </row>
  </sheetData>
  <mergeCells count="3">
    <mergeCell ref="A1:I1"/>
    <mergeCell ref="A3:I3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SALVATORE PIZZA  —  SENSITIVITY — IRR</t>
        </is>
      </c>
    </row>
    <row r="3">
      <c r="A3" s="15" t="inlineStr">
        <is>
          <t>5×5 IRR sensitivity. ASP and covers/day flexed ±15% (cols) and ±20% (rows). Note: this is an illustrative static-driver matrix — re-run model with scenario toggle for exact IRR.</t>
        </is>
      </c>
    </row>
    <row r="5">
      <c r="A5" s="17" t="inlineStr">
        <is>
          <t>Covers ↓ / ASP →</t>
        </is>
      </c>
      <c r="B5" s="45" t="n">
        <v>-0.15</v>
      </c>
      <c r="C5" s="45" t="n">
        <v>-0.075</v>
      </c>
      <c r="D5" s="45" t="n">
        <v>0</v>
      </c>
      <c r="E5" s="45" t="n">
        <v>0.075</v>
      </c>
      <c r="F5" s="45" t="n">
        <v>0.15</v>
      </c>
      <c r="I5" t="inlineStr">
        <is>
          <t>Central Y5 EBITDA</t>
        </is>
      </c>
      <c r="J5" s="46">
        <f>'P&amp;L'!G9</f>
        <v/>
      </c>
    </row>
    <row r="6">
      <c r="A6" s="45" t="n">
        <v>-0.2</v>
      </c>
      <c r="B6" s="47">
        <f>((($J$5+($J$6*((1+-0.15)*(1+-0.2)-1))*0.6)*$J$8)/$J$7)^(1/5)-1</f>
        <v/>
      </c>
      <c r="C6" s="47">
        <f>((($J$5+($J$6*((1+-0.075)*(1+-0.2)-1))*0.6)*$J$8)/$J$7)^(1/5)-1</f>
        <v/>
      </c>
      <c r="D6" s="47">
        <f>((($J$5+($J$6*((1+0)*(1+-0.2)-1))*0.6)*$J$8)/$J$7)^(1/5)-1</f>
        <v/>
      </c>
      <c r="E6" s="47">
        <f>((($J$5+($J$6*((1+0.075)*(1+-0.2)-1))*0.6)*$J$8)/$J$7)^(1/5)-1</f>
        <v/>
      </c>
      <c r="F6" s="47">
        <f>((($J$5+($J$6*((1+0.15)*(1+-0.2)-1))*0.6)*$J$8)/$J$7)^(1/5)-1</f>
        <v/>
      </c>
      <c r="I6" t="inlineStr">
        <is>
          <t>Central Y5 Revenue</t>
        </is>
      </c>
      <c r="J6" s="46">
        <f>'P&amp;L'!G5</f>
        <v/>
      </c>
    </row>
    <row r="7">
      <c r="A7" s="45" t="n">
        <v>-0.1</v>
      </c>
      <c r="B7" s="47">
        <f>((($J$5+($J$6*((1+-0.15)*(1+-0.1)-1))*0.6)*$J$8)/$J$7)^(1/5)-1</f>
        <v/>
      </c>
      <c r="C7" s="47">
        <f>((($J$5+($J$6*((1+-0.075)*(1+-0.1)-1))*0.6)*$J$8)/$J$7)^(1/5)-1</f>
        <v/>
      </c>
      <c r="D7" s="47">
        <f>((($J$5+($J$6*((1+0)*(1+-0.1)-1))*0.6)*$J$8)/$J$7)^(1/5)-1</f>
        <v/>
      </c>
      <c r="E7" s="47">
        <f>((($J$5+($J$6*((1+0.075)*(1+-0.1)-1))*0.6)*$J$8)/$J$7)^(1/5)-1</f>
        <v/>
      </c>
      <c r="F7" s="47">
        <f>((($J$5+($J$6*((1+0.15)*(1+-0.1)-1))*0.6)*$J$8)/$J$7)^(1/5)-1</f>
        <v/>
      </c>
      <c r="I7" t="inlineStr">
        <is>
          <t>Invested (Y0)</t>
        </is>
      </c>
      <c r="J7" s="46">
        <f>-'Cash Flow'!B11</f>
        <v/>
      </c>
    </row>
    <row r="8">
      <c r="A8" s="45" t="n">
        <v>0</v>
      </c>
      <c r="B8" s="47">
        <f>((($J$5+($J$6*((1+-0.15)*(1+0)-1))*0.6)*$J$8)/$J$7)^(1/5)-1</f>
        <v/>
      </c>
      <c r="C8" s="47">
        <f>((($J$5+($J$6*((1+-0.075)*(1+0)-1))*0.6)*$J$8)/$J$7)^(1/5)-1</f>
        <v/>
      </c>
      <c r="D8" s="47">
        <f>((($J$5+($J$6*((1+0)*(1+0)-1))*0.6)*$J$8)/$J$7)^(1/5)-1</f>
        <v/>
      </c>
      <c r="E8" s="47">
        <f>((($J$5+($J$6*((1+0.075)*(1+0)-1))*0.6)*$J$8)/$J$7)^(1/5)-1</f>
        <v/>
      </c>
      <c r="F8" s="47">
        <f>((($J$5+($J$6*((1+0.15)*(1+0)-1))*0.6)*$J$8)/$J$7)^(1/5)-1</f>
        <v/>
      </c>
      <c r="I8" t="inlineStr">
        <is>
          <t>Exit multiple</t>
        </is>
      </c>
      <c r="J8" s="48">
        <f>Assumptions!$B$79</f>
        <v/>
      </c>
    </row>
    <row r="9">
      <c r="A9" s="45" t="n">
        <v>0.1</v>
      </c>
      <c r="B9" s="47">
        <f>((($J$5+($J$6*((1+-0.15)*(1+0.1)-1))*0.6)*$J$8)/$J$7)^(1/5)-1</f>
        <v/>
      </c>
      <c r="C9" s="47">
        <f>((($J$5+($J$6*((1+-0.075)*(1+0.1)-1))*0.6)*$J$8)/$J$7)^(1/5)-1</f>
        <v/>
      </c>
      <c r="D9" s="47">
        <f>((($J$5+($J$6*((1+0)*(1+0.1)-1))*0.6)*$J$8)/$J$7)^(1/5)-1</f>
        <v/>
      </c>
      <c r="E9" s="47">
        <f>((($J$5+($J$6*((1+0.075)*(1+0.1)-1))*0.6)*$J$8)/$J$7)^(1/5)-1</f>
        <v/>
      </c>
      <c r="F9" s="47">
        <f>((($J$5+($J$6*((1+0.15)*(1+0.1)-1))*0.6)*$J$8)/$J$7)^(1/5)-1</f>
        <v/>
      </c>
    </row>
    <row r="10">
      <c r="A10" s="45" t="n">
        <v>0.2</v>
      </c>
      <c r="B10" s="47">
        <f>((($J$5+($J$6*((1+-0.15)*(1+0.2)-1))*0.6)*$J$8)/$J$7)^(1/5)-1</f>
        <v/>
      </c>
      <c r="C10" s="47">
        <f>((($J$5+($J$6*((1+-0.075)*(1+0.2)-1))*0.6)*$J$8)/$J$7)^(1/5)-1</f>
        <v/>
      </c>
      <c r="D10" s="47">
        <f>((($J$5+($J$6*((1+0)*(1+0.2)-1))*0.6)*$J$8)/$J$7)^(1/5)-1</f>
        <v/>
      </c>
      <c r="E10" s="47">
        <f>((($J$5+($J$6*((1+0.075)*(1+0.2)-1))*0.6)*$J$8)/$J$7)^(1/5)-1</f>
        <v/>
      </c>
      <c r="F10" s="47">
        <f>((($J$5+($J$6*((1+0.15)*(1+0.2)-1))*0.6)*$J$8)/$J$7)^(1/5)-1</f>
        <v/>
      </c>
    </row>
    <row r="12">
      <c r="A12" s="15" t="inlineStr">
        <is>
          <t>Read: % change in ASP across columns; % change in covers across rows. Cells show indicative 5-yr IRR.</t>
        </is>
      </c>
    </row>
  </sheetData>
  <mergeCells count="3">
    <mergeCell ref="A12:H12"/>
    <mergeCell ref="A3:H3"/>
    <mergeCell ref="A1:H1"/>
  </mergeCells>
  <conditionalFormatting sqref="B6:F10">
    <cfRule type="colorScale" priority="1">
      <colorScale>
        <cfvo type="min"/>
        <cfvo type="percentile" val="50"/>
        <cfvo type="max"/>
        <color rgb="00F8CBAD"/>
        <color rgb="00FFEB9C"/>
        <color rgb="00C6E0B4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SALVATORE PIZZA  —  KPI DASHBOARD</t>
        </is>
      </c>
    </row>
    <row r="3">
      <c r="A3" s="15" t="inlineStr">
        <is>
          <t>One-page operating dashboard — links live to other sheets.</t>
        </is>
      </c>
    </row>
    <row r="5">
      <c r="A5" s="17" t="inlineStr">
        <is>
          <t>KPI</t>
        </is>
      </c>
      <c r="B5" s="17" t="inlineStr">
        <is>
          <t>Y1 2026</t>
        </is>
      </c>
      <c r="C5" s="17" t="inlineStr">
        <is>
          <t>Y2 2027</t>
        </is>
      </c>
      <c r="D5" s="17" t="inlineStr">
        <is>
          <t>Y3 2028</t>
        </is>
      </c>
      <c r="E5" s="17" t="inlineStr">
        <is>
          <t>Y4 2029</t>
        </is>
      </c>
      <c r="F5" s="17" t="inlineStr">
        <is>
          <t>Y5 2030</t>
        </is>
      </c>
    </row>
    <row r="6">
      <c r="A6" s="4" t="inlineStr">
        <is>
          <t>Total Revenue (BGN)</t>
        </is>
      </c>
      <c r="B6" s="7">
        <f>'P&amp;L'!C5</f>
        <v/>
      </c>
      <c r="C6" s="7">
        <f>'P&amp;L'!D5</f>
        <v/>
      </c>
      <c r="D6" s="7">
        <f>'P&amp;L'!E5</f>
        <v/>
      </c>
      <c r="E6" s="7">
        <f>'P&amp;L'!F5</f>
        <v/>
      </c>
      <c r="F6" s="7">
        <f>'P&amp;L'!G5</f>
        <v/>
      </c>
    </row>
    <row r="7">
      <c r="A7" t="inlineStr">
        <is>
          <t>Avg revenue / dine-in cover (BGN)</t>
        </is>
      </c>
      <c r="B7" s="33">
        <f>'Revenue Build'!C13</f>
        <v/>
      </c>
      <c r="C7" s="33">
        <f>'Revenue Build'!D13</f>
        <v/>
      </c>
      <c r="D7" s="33">
        <f>'Revenue Build'!E13</f>
        <v/>
      </c>
      <c r="E7" s="33">
        <f>'Revenue Build'!F13</f>
        <v/>
      </c>
      <c r="F7" s="33">
        <f>'Revenue Build'!G13</f>
        <v/>
      </c>
    </row>
    <row r="8">
      <c r="A8" t="inlineStr">
        <is>
          <t>Food cost % of revenue</t>
        </is>
      </c>
      <c r="B8" s="39">
        <f>'Cost Forecast'!B8/'P&amp;L'!C5</f>
        <v/>
      </c>
      <c r="C8" s="39">
        <f>'Cost Forecast'!D8/'P&amp;L'!D5</f>
        <v/>
      </c>
      <c r="D8" s="39">
        <f>'Cost Forecast'!F8/'P&amp;L'!E5</f>
        <v/>
      </c>
      <c r="E8" s="39">
        <f>'Cost Forecast'!H8/'P&amp;L'!F5</f>
        <v/>
      </c>
      <c r="F8" s="39">
        <f>'Cost Forecast'!J8/'P&amp;L'!G5</f>
        <v/>
      </c>
    </row>
    <row r="9">
      <c r="A9" t="inlineStr">
        <is>
          <t>Labour % of revenue</t>
        </is>
      </c>
      <c r="B9" s="39">
        <f>'Cost Forecast'!B16/'P&amp;L'!C5</f>
        <v/>
      </c>
      <c r="C9" s="39">
        <f>'Cost Forecast'!D16/'P&amp;L'!D5</f>
        <v/>
      </c>
      <c r="D9" s="39">
        <f>'Cost Forecast'!F16/'P&amp;L'!E5</f>
        <v/>
      </c>
      <c r="E9" s="39">
        <f>'Cost Forecast'!H16/'P&amp;L'!F5</f>
        <v/>
      </c>
      <c r="F9" s="39">
        <f>'Cost Forecast'!J16/'P&amp;L'!G5</f>
        <v/>
      </c>
    </row>
    <row r="10">
      <c r="A10" s="4" t="inlineStr">
        <is>
          <t>EBITDA margin</t>
        </is>
      </c>
      <c r="B10" s="10">
        <f>'P&amp;L'!C22</f>
        <v/>
      </c>
      <c r="C10" s="10">
        <f>'P&amp;L'!D22</f>
        <v/>
      </c>
      <c r="D10" s="10">
        <f>'P&amp;L'!E22</f>
        <v/>
      </c>
      <c r="E10" s="10">
        <f>'P&amp;L'!F22</f>
        <v/>
      </c>
      <c r="F10" s="10">
        <f>'P&amp;L'!G22</f>
        <v/>
      </c>
    </row>
    <row r="11">
      <c r="A11" t="inlineStr">
        <is>
          <t>Pizzas/day (implied)</t>
        </is>
      </c>
      <c r="B11" s="31">
        <f>'Revenue Build'!C32</f>
        <v/>
      </c>
      <c r="C11" s="31">
        <f>'Revenue Build'!D32</f>
        <v/>
      </c>
      <c r="D11" s="31">
        <f>'Revenue Build'!E32</f>
        <v/>
      </c>
      <c r="E11" s="31">
        <f>'Revenue Build'!F32</f>
        <v/>
      </c>
      <c r="F11" s="31">
        <f>'Revenue Build'!G32</f>
        <v/>
      </c>
    </row>
    <row r="12">
      <c r="A12" t="inlineStr">
        <is>
          <t>Oven utilisation</t>
        </is>
      </c>
      <c r="B12" s="37">
        <f>'Revenue Build'!C34</f>
        <v/>
      </c>
      <c r="C12" s="37">
        <f>'Revenue Build'!D34</f>
        <v/>
      </c>
      <c r="D12" s="37">
        <f>'Revenue Build'!E34</f>
        <v/>
      </c>
      <c r="E12" s="37">
        <f>'Revenue Build'!F34</f>
        <v/>
      </c>
      <c r="F12" s="37">
        <f>'Revenue Build'!G34</f>
        <v/>
      </c>
    </row>
    <row r="13">
      <c r="A13" t="inlineStr">
        <is>
          <t>Monthly break-even revenue (BGN)</t>
        </is>
      </c>
      <c r="B13" s="34">
        <f>('Cost Forecast'!B24/12)/(1-('Cost Forecast'!B11/'P&amp;L'!C5))</f>
        <v/>
      </c>
      <c r="C13" s="34">
        <f>('Cost Forecast'!D24/12)/(1-('Cost Forecast'!D11/'P&amp;L'!D5))</f>
        <v/>
      </c>
      <c r="D13" s="34">
        <f>('Cost Forecast'!F24/12)/(1-('Cost Forecast'!F11/'P&amp;L'!E5))</f>
        <v/>
      </c>
      <c r="E13" s="34">
        <f>('Cost Forecast'!H24/12)/(1-('Cost Forecast'!H11/'P&amp;L'!F5))</f>
        <v/>
      </c>
      <c r="F13" s="34">
        <f>('Cost Forecast'!J24/12)/(1-('Cost Forecast'!J11/'P&amp;L'!G5))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2026-05-20T12:48:39Z</dcterms:created>
  <dcterms:modified xmlns:dcterms="http://purl.org/dc/terms/" xmlns:xsi="http://www.w3.org/2001/XMLSchema-instance" xsi:type="dcterms:W3CDTF">2026-05-20T12:48:39Z</dcterms:modified>
</cp:coreProperties>
</file>